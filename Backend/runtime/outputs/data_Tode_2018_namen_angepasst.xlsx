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5bdf332e94d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40893c6c681c43ae"/>
  </x:sheets>
</x:workbook>
</file>

<file path=xl/sharedStrings.xml><?xml version="1.0" encoding="utf-8"?>
<x:sst xmlns:x="http://schemas.openxmlformats.org/spreadsheetml/2006/main">
  <x:si>
    <x:t xml:space="preserve">Jahr</x:t>
  </x:si>
  <x:si>
    <x:t xml:space="preserve">Todesursache</x:t>
  </x:si>
  <x:si>
    <x:t xml:space="preserve">unter 1 Jahr Männlich</x:t>
  </x:si>
  <x:si>
    <x:t xml:space="preserve">1-15 jahre Mänlich</x:t>
  </x:si>
  <x:si>
    <x:t xml:space="preserve">15-20 jahre Männlich</x:t>
  </x:si>
  <x:si>
    <x:t xml:space="preserve">20-25 jahre Männlich</x:t>
  </x:si>
  <x:si>
    <x:t xml:space="preserve">25-30 jahre Männlich</x:t>
  </x:si>
  <x:si>
    <x:t xml:space="preserve">30-35 jahre Männlich</x:t>
  </x:si>
  <x:si>
    <x:t xml:space="preserve">35-40 jahre  Männlich</x:t>
  </x:si>
  <x:si>
    <x:t xml:space="preserve">40-45 jahre Männlich</x:t>
  </x:si>
  <x:si>
    <x:t xml:space="preserve">45-50 jahre Männlich</x:t>
  </x:si>
  <x:si>
    <x:t xml:space="preserve">50-55 jahre Männlich</x:t>
  </x:si>
  <x:si>
    <x:t xml:space="preserve">55-60 jahre Männlich</x:t>
  </x:si>
  <x:si>
    <x:t xml:space="preserve">60-65 jahre Männlich</x:t>
  </x:si>
  <x:si>
    <x:t xml:space="preserve">65-70 Jahre  Männlich</x:t>
  </x:si>
  <x:si>
    <x:t xml:space="preserve">70-75 jahre Männlch</x:t>
  </x:si>
  <x:si>
    <x:t xml:space="preserve">75-80 jahre Männlich</x:t>
  </x:si>
  <x:si>
    <x:t xml:space="preserve">80-85 jahre Männlich</x:t>
  </x:si>
  <x:si>
    <x:t xml:space="preserve">85 und mehr</x:t>
  </x:si>
  <x:si>
    <x:t xml:space="preserve">alter unbekannt</x:t>
  </x:si>
  <x:si>
    <x:t xml:space="preserve">1 jahre Weiblich</x:t>
  </x:si>
  <x:si>
    <x:t xml:space="preserve">1-15 Jahre Weiblich</x:t>
  </x:si>
  <x:si>
    <x:t xml:space="preserve">15-20 Jahre Weiblich</x:t>
  </x:si>
  <x:si>
    <x:t xml:space="preserve">20-25 jahre weiblich</x:t>
  </x:si>
  <x:si>
    <x:t xml:space="preserve">25-30 Jahre Weiblich</x:t>
  </x:si>
  <x:si>
    <x:t xml:space="preserve">30-35 Jahre Weiblich</x:t>
  </x:si>
  <x:si>
    <x:t xml:space="preserve">35-40 Jahre Weiblich</x:t>
  </x:si>
  <x:si>
    <x:t xml:space="preserve">40-45 Jahre Weiblich</x:t>
  </x:si>
  <x:si>
    <x:t xml:space="preserve">45-50 Jahre Weiblich</x:t>
  </x:si>
  <x:si>
    <x:t xml:space="preserve">50-55 Jahre Weiblich</x:t>
  </x:si>
  <x:si>
    <x:t xml:space="preserve">55-60 Jahre Weiblich</x:t>
  </x:si>
  <x:si>
    <x:t xml:space="preserve">60-65 Jahre Weiblich</x:t>
  </x:si>
  <x:si>
    <x:t xml:space="preserve">65-70 Jahre Weiblich</x:t>
  </x:si>
  <x:si>
    <x:t xml:space="preserve">70-75Jahre Weiblich</x:t>
  </x:si>
  <x:si>
    <x:t xml:space="preserve">75-80 Jahre Weiblich</x:t>
  </x:si>
  <x:si>
    <x:t xml:space="preserve">80-85 Jahre Weiblich</x:t>
  </x:si>
  <x:si>
    <x:t xml:space="preserve">85 und mehr Weiblich</x:t>
  </x:si>
  <x:si>
    <x:t xml:space="preserve">Insgesamt unter 1 jahre</x:t>
  </x:si>
  <x:si>
    <x:t xml:space="preserve">Insgesamt 1-15 jahre</x:t>
  </x:si>
  <x:si>
    <x:t xml:space="preserve">Insgesamt 15-20 jahre</x:t>
  </x:si>
  <x:si>
    <x:t xml:space="preserve">Insgesamt 20-25 jahre</x:t>
  </x:si>
  <x:si>
    <x:t xml:space="preserve">Insgesamt 25-30 jahre</x:t>
  </x:si>
  <x:si>
    <x:t xml:space="preserve">Insgesamt 30-35 jahre</x:t>
  </x:si>
  <x:si>
    <x:t xml:space="preserve">Insgesamt 35-40 jahre</x:t>
  </x:si>
  <x:si>
    <x:t xml:space="preserve">Insgesamt 40-45 jahre</x:t>
  </x:si>
  <x:si>
    <x:t xml:space="preserve">Insgesamt 45-50 jahre</x:t>
  </x:si>
  <x:si>
    <x:t xml:space="preserve">Insgesamt 50-55 jahre</x:t>
  </x:si>
  <x:si>
    <x:t xml:space="preserve">Insgesamt 55-60 jahre</x:t>
  </x:si>
  <x:si>
    <x:t xml:space="preserve">Insgesamt 60-65 jahre</x:t>
  </x:si>
  <x:si>
    <x:t xml:space="preserve">Insgesamt 65-70 jahre</x:t>
  </x:si>
  <x:si>
    <x:t xml:space="preserve">Insgesamt 70-75 jahre</x:t>
  </x:si>
  <x:si>
    <x:t xml:space="preserve">Insgesamt 75-80 jahre</x:t>
  </x:si>
  <x:si>
    <x:t xml:space="preserve">Insgesamt 80-85 jahre</x:t>
  </x:si>
  <x:si>
    <x:t xml:space="preserve">Insgesamt 85 jahre und mehr </x:t>
  </x:si>
  <x:si>
    <x:t xml:space="preserve">2018</x:t>
  </x:si>
  <x:si>
    <x:t xml:space="preserve">Tuberkulose einschließlich ihrer Folgezustände</x:t>
  </x:si>
  <x:si>
    <x:t xml:space="preserve">Meningokokkeninfektion</x:t>
  </x:si>
  <x:si>
    <x:t xml:space="preserve">Virushepatitis</x:t>
  </x:si>
  <x:si>
    <x:t xml:space="preserve">HIV0Krankheit</x:t>
  </x:si>
  <x:si>
    <x:t xml:space="preserve">Neubildungen</x:t>
  </x:si>
  <x:si>
    <x:t xml:space="preserve">Bösartige Neubildungen (BN)</x:t>
  </x:si>
  <x:si>
    <x:t xml:space="preserve">BN der Lippe, der Mundhöhle und des Pharynx</x:t>
  </x:si>
  <x:si>
    <x:t xml:space="preserve">BN des Ösophagus</x:t>
  </x:si>
  <x:si>
    <x:t xml:space="preserve">BN des Magens</x:t>
  </x:si>
  <x:si>
    <x:t xml:space="preserve">BN des Rektums, des Anus und am Rektosigmoid</x:t>
  </x:si>
  <x:si>
    <x:t xml:space="preserve">BN der Leber und der intrahepatischen Gallengänge</x:t>
  </x:si>
  <x:si>
    <x:t xml:space="preserve">BN der Bronchien und der Lunge</x:t>
  </x:si>
  <x:si>
    <x:t xml:space="preserve">Melanom und sonstige bösartige Neubild. der Haut</x:t>
  </x:si>
  <x:si>
    <x:t xml:space="preserve">Bösartiges Melanom der Haut</x:t>
  </x:si>
  <x:si>
    <x:t xml:space="preserve">BN der Cervix uteri</x:t>
  </x:si>
  <x:si>
    <x:t xml:space="preserve">BN des Corpus uteri u. Uterus, Teil n.n. bezeichn.</x:t>
  </x:si>
  <x:si>
    <x:t xml:space="preserve">BN des Ovars</x:t>
  </x:si>
  <x:si>
    <x:t xml:space="preserve">BN der Niere, ausgenommen Nierenbecken</x:t>
  </x:si>
  <x:si>
    <x:t xml:space="preserve">BN der Harnblase</x:t>
  </x:si>
  <x:si>
    <x:t xml:space="preserve">Leukämie</x:t>
  </x:si>
  <x:si>
    <x:t xml:space="preserve">Gutartige Neubildungen</x:t>
  </x:si>
  <x:si>
    <x:t xml:space="preserve">Krankheiten des Blutes u. der blutbildenden Organe</x:t>
  </x:si>
  <x:si>
    <x:t xml:space="preserve">Diabetes mellitus</x:t>
  </x:si>
  <x:si>
    <x:t xml:space="preserve">Psychische und Verhaltensstörungen durch Alkohol</x:t>
  </x:si>
  <x:si>
    <x:t xml:space="preserve">Psych. u. Verhaltensstörungen d.a.psychotr. Subst.</x:t>
  </x:si>
  <x:si>
    <x:t xml:space="preserve">Meningitis</x:t>
  </x:si>
  <x:si>
    <x:t xml:space="preserve">Hypertonie (Hochdruckkrankheit)</x:t>
  </x:si>
  <x:si>
    <x:t xml:space="preserve">Ischämische Herzkrankheiten</x:t>
  </x:si>
  <x:si>
    <x:t xml:space="preserve">Akuter oder rezidivierender Myokardinfarkt</x:t>
  </x:si>
  <x:si>
    <x:t xml:space="preserve">Sonstige Formen der Herzkrankheit</x:t>
  </x:si>
  <x:si>
    <x:t xml:space="preserve">Sonstige Krankheiten des Endokards</x:t>
  </x:si>
  <x:si>
    <x:t xml:space="preserve">Zerebrovaskuläre Krankheiten</x:t>
  </x:si>
  <x:si>
    <x:t xml:space="preserve">Schlaganfall, nicht als Blutung oder Infarkt bez.</x:t>
  </x:si>
  <x:si>
    <x:t xml:space="preserve">Krankheiten der Arterien, Arteriolen und Kapillare</x:t>
  </x:si>
  <x:si>
    <x:t xml:space="preserve">Grippe</x:t>
  </x:si>
  <x:si>
    <x:t xml:space="preserve">Pneumonie</x:t>
  </x:si>
  <x:si>
    <x:t xml:space="preserve">Chronische Krankheiten der unteren Atemwege</x:t>
  </x:si>
  <x:si>
    <x:t xml:space="preserve">Asthma</x:t>
  </x:si>
  <x:si>
    <x:t xml:space="preserve">Ulcus ventriculi, duodeni, pepticum, pept. jejuni</x:t>
  </x:si>
  <x:si>
    <x:t xml:space="preserve">Krankheiten der Leber</x:t>
  </x:si>
  <x:si>
    <x:t xml:space="preserve">Alkoh.Leberkh.,Chron.Hepatitis,Leberfibr.u.0zirr.</x:t>
  </x:si>
  <x:si>
    <x:t xml:space="preserve">Krankheiten der Haut und der Unterhaut</x:t>
  </x:si>
  <x:si>
    <x:t xml:space="preserve">Krankh. des Muskel0Skelett0Systems u. Bindegewebes</x:t>
  </x:si>
  <x:si>
    <x:t xml:space="preserve">Chronische Polyarthritis und Arthrose</x:t>
  </x:si>
  <x:si>
    <x:t xml:space="preserve">Krankheiten der Niere</x:t>
  </x:si>
  <x:si>
    <x:t xml:space="preserve">Schwangerschaft, Geburt und Wochenbett</x:t>
  </x:si>
  <x:si>
    <x:t xml:space="preserve">Best.Zustände mit Ursprung in der Perinatalperiode</x:t>
  </x:si>
  <x:si>
    <x:t xml:space="preserve">Angeb. Fehlbildungen,Deformitäten,Chromosomenanom.</x:t>
  </x:si>
  <x:si>
    <x:t xml:space="preserve">Angeborene Fehlbildungen des Nervensystems</x:t>
  </x:si>
  <x:si>
    <x:t xml:space="preserve">Angeborene Fehlbildungen des Kreislaufsystems</x:t>
  </x:si>
  <x:si>
    <x:t xml:space="preserve">Symptome und abnorme klinische und Laborbefunde</x:t>
  </x:si>
  <x:si>
    <x:t xml:space="preserve">Plötzlicher Kindstod</x:t>
  </x:si>
  <x:si>
    <x:t xml:space="preserve">Sonst. ungenau bezeichnete u. unbek. Todesursachen</x:t>
  </x:si>
  <x:si>
    <x:t xml:space="preserve">Transportmittelunfälle</x:t>
  </x:si>
  <x:si>
    <x:t xml:space="preserve">Stürze</x:t>
  </x:si>
  <x:si>
    <x:t xml:space="preserve">Ertrinken und Untergehen</x:t>
  </x:si>
  <x:si>
    <x:t xml:space="preserve">Exposition gegenüber Rauch, Feuer und Flammen</x:t>
  </x:si>
  <x:si>
    <x:t xml:space="preserve">Akzid. Vergiftung: schädl. Substanzen (inkl. Exp.)</x:t>
  </x:si>
  <x:si>
    <x:t xml:space="preserve">Tätlicher Angriff</x:t>
  </x:si>
  <x:si>
    <x:t xml:space="preserve">Ereignis, dessen nähere Umstände unbestimmt sind</x:t>
  </x:si>
  <x:si>
    <x:t xml:space="preserve">COVID019, Virus nachgewiesen</x:t>
  </x:si>
  <x:si>
    <x:t xml:space="preserve">COVID019, Virus nicht nachgewiesen</x:t>
  </x:si>
  <x:si>
    <x:t xml:space="preserve">Insgesamt 2018</x:t>
  </x:si>
</x:sst>
</file>

<file path=xl/styles.xml><?xml version="1.0" encoding="utf-8"?>
<x:styleSheet xmlns:x="http://schemas.openxmlformats.org/spreadsheetml/2006/main">
  <x:fonts count="3">
    <x:font>
      <x:sz val="12"/>
      <x:color theme="1"/>
      <x:name val="Aptos Narrow"/>
    </x:font>
    <x:font>
      <x:sz val="10"/>
      <x:name val="Arial"/>
    </x:font>
    <x:font>
      <x:b/>
      <x:sz val="12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4">
    <x:border/>
    <x:border>
      <x:right style="medium">
        <x:color auto="1"/>
      </x:right>
    </x:border>
    <x:border/>
    <x:border>
      <x:right style="medium">
        <x:color auto="1"/>
      </x:right>
    </x:border>
  </x:borders>
  <x:cellStyleXfs count="1">
    <x:xf numFmtId="0" fontId="0" fillId="0" borderId="0"/>
  </x:cellStyleXfs>
  <x:cellXfs count="11">
    <x:xf numFmtId="0" fontId="0" fillId="0" borderId="0" xfId="0"/>
    <x:xf numFmtId="49" fontId="1" fillId="0" borderId="0" xfId="0" applyNumberFormat="1" applyFont="1" applyAlignment="1">
      <x:alignment horizontal="left"/>
    </x:xf>
    <x:xf numFmtId="49" fontId="1" fillId="0" borderId="1" xfId="0" applyNumberFormat="1" applyFont="1" applyBorder="1" applyAlignment="1">
      <x:alignment horizontal="left"/>
    </x:xf>
    <x:xf numFmtId="0" fontId="1" fillId="0" borderId="0" xfId="0" applyFont="1" applyAlignment="1">
      <x:alignment horizontal="right"/>
    </x:xf>
    <x:xf numFmtId="0" fontId="0" fillId="0" borderId="2" xfId="0" applyNumberFormat="1" applyFont="1" applyFill="1" applyBorder="1"/>
    <x:xf numFmtId="49" fontId="1" fillId="0" borderId="2" xfId="0" applyNumberFormat="1" applyFont="1" applyFill="1" applyBorder="1" applyAlignment="1">
      <x:alignment horizontal="left"/>
    </x:xf>
    <x:xf numFmtId="49" fontId="1" fillId="0" borderId="3" xfId="0" applyNumberFormat="1" applyFont="1" applyFill="1" applyBorder="1" applyAlignment="1">
      <x:alignment horizontal="left"/>
    </x:xf>
    <x:xf numFmtId="0" fontId="1" fillId="0" borderId="2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Standard" xfId="0"/>
  </x:cellStyles>
  <x:dxfs count="37">
    <x:dxf>
      <x:numFmt numFmtId="0" formatCode="General"/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</x:dxf>
    <x:dxf>
      <x:font>
        <x:u val="none"/>
        <x:sz val="10"/>
        <x:color auto="1"/>
        <x:name val="Arial"/>
        <x:scheme val="none"/>
      </x:font>
      <x:numFmt numFmtId="30" formatCode="@"/>
      <x:border>
        <x:left/>
        <x:right style="medium">
          <x:color auto="1"/>
        </x:right>
        <x:top/>
        <x:bottom/>
      </x:border>
    </x:dxf>
    <x:dxf>
      <x:font>
        <x:u val="none"/>
        <x:sz val="10"/>
        <x:color auto="1"/>
        <x:name val="Arial"/>
        <x:scheme val="none"/>
      </x:font>
      <x:numFmt numFmtId="30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2a31ae1b184932" /><Relationship Type="http://schemas.openxmlformats.org/officeDocument/2006/relationships/theme" Target="/xl/theme/theme1.xml" Id="R54076633551a4fe8" /><Relationship Type="http://schemas.openxmlformats.org/officeDocument/2006/relationships/sharedStrings" Target="/xl/sharedStrings.xml" Id="R708a519a4a77482e" /><Relationship Type="http://schemas.openxmlformats.org/officeDocument/2006/relationships/worksheet" Target="/xl/worksheets/sheet1.xml" Id="R40893c6c681c43ae" /></Relationships>
</file>

<file path=xl/tables/table1.xml><?xml version="1.0" encoding="utf-8"?>
<x:table xmlns:x="http://schemas.openxmlformats.org/spreadsheetml/2006/main" id="1" name="Tabelle2" displayName="Tabelle2" ref="A1:BB83">
  <x:autoFilter ref="A1:BB83"/>
  <x:tableColumns count="54">
    <x:tableColumn id="1" name="Jahr"/>
    <x:tableColumn id="2" name="Todesursache"/>
    <x:tableColumn id="3" name="unter 1 Jahr Männlich"/>
    <x:tableColumn id="4" name="1-15 jahre Mänlich"/>
    <x:tableColumn id="5" name="15-20 jahre Männlich"/>
    <x:tableColumn id="6" name="20-25 jahre Männlich"/>
    <x:tableColumn id="7" name="25-30 jahre Männlich"/>
    <x:tableColumn id="8" name="30-35 jahre Männlich"/>
    <x:tableColumn id="9" name="35-40 jahre  Männlich"/>
    <x:tableColumn id="10" name="40-45 jahre Männlich"/>
    <x:tableColumn id="11" name="45-50 jahre Männlich"/>
    <x:tableColumn id="12" name="50-55 jahre Männlich"/>
    <x:tableColumn id="13" name="55-60 jahre Männlich"/>
    <x:tableColumn id="14" name="60-65 jahre Männlich"/>
    <x:tableColumn id="15" name="65-70 Jahre  Männlich"/>
    <x:tableColumn id="16" name="70-75 jahre Männlch"/>
    <x:tableColumn id="17" name="75-80 jahre Männlich"/>
    <x:tableColumn id="18" name="80-85 jahre Männlich"/>
    <x:tableColumn id="19" name="85 und mehr"/>
    <x:tableColumn id="20" name="alter unbekannt"/>
    <x:tableColumn id="21" name="1 jahre Weiblich"/>
    <x:tableColumn id="22" name="1-15 Jahre Weiblich"/>
    <x:tableColumn id="23" name="15-20 Jahre Weiblich"/>
    <x:tableColumn id="24" name="20-25 jahre weiblich"/>
    <x:tableColumn id="25" name="25-30 Jahre Weiblich"/>
    <x:tableColumn id="26" name="30-35 Jahre Weiblich"/>
    <x:tableColumn id="27" name="35-40 Jahre Weiblich"/>
    <x:tableColumn id="28" name="40-45 Jahre Weiblich"/>
    <x:tableColumn id="29" name="45-50 Jahre Weiblich"/>
    <x:tableColumn id="30" name="50-55 Jahre Weiblich"/>
    <x:tableColumn id="31" name="55-60 Jahre Weiblich"/>
    <x:tableColumn id="32" name="60-65 Jahre Weiblich"/>
    <x:tableColumn id="33" name="65-70 Jahre Weiblich"/>
    <x:tableColumn id="34" name="70-75Jahre Weiblich"/>
    <x:tableColumn id="35" name="75-80 Jahre Weiblich"/>
    <x:tableColumn id="36" name="80-85 Jahre Weiblich"/>
    <x:tableColumn id="37" name="85 und mehr Weiblich"/>
    <x:tableColumn id="38" name="Insgesamt unter 1 jahre"/>
    <x:tableColumn id="39" name="Insgesamt 1-15 jahre"/>
    <x:tableColumn id="40" name="Insgesamt 15-20 jahre"/>
    <x:tableColumn id="41" name="Insgesamt 20-25 jahre"/>
    <x:tableColumn id="42" name="Insgesamt 25-30 jahre"/>
    <x:tableColumn id="43" name="Insgesamt 30-35 jahre"/>
    <x:tableColumn id="44" name="Insgesamt 35-40 jahre"/>
    <x:tableColumn id="45" name="Insgesamt 40-45 jahre"/>
    <x:tableColumn id="46" name="Insgesamt 45-50 jahre"/>
    <x:tableColumn id="47" name="Insgesamt 50-55 jahre"/>
    <x:tableColumn id="48" name="Insgesamt 55-60 jahre"/>
    <x:tableColumn id="49" name="Insgesamt 60-65 jahre"/>
    <x:tableColumn id="50" name="Insgesamt 65-70 jahre"/>
    <x:tableColumn id="51" name="Insgesamt 70-75 jahre"/>
    <x:tableColumn id="52" name="Insgesamt 75-80 jahre"/>
    <x:tableColumn id="53" name="Insgesamt 80-85 jahre"/>
    <x:tableColumn id="54" name="Insgesamt 85 jahre und mehr 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396170d20c4f28" /></Relationships>
</file>

<file path=xl/worksheets/sheet1.xml><?xml version="1.0" encoding="utf-8"?>
<x:worksheet xmlns:x="http://schemas.openxmlformats.org/spreadsheetml/2006/main">
  <x:sheetFormatPr baseColWidth="10" defaultRowHeight="16"/>
  <x:cols>
    <x:col min="2" max="2" width="14" customWidth="1"/>
    <x:col min="3" max="3" width="20.33203125" customWidth="1"/>
    <x:col min="4" max="4" width="18" customWidth="1"/>
    <x:col min="5" max="8" width="20" customWidth="1"/>
    <x:col min="9" max="9" width="20.33203125" customWidth="1"/>
    <x:col min="10" max="14" width="20" customWidth="1"/>
    <x:col min="15" max="15" width="20.5" customWidth="1"/>
    <x:col min="16" max="16" width="19.5" customWidth="1"/>
    <x:col min="17" max="18" width="20" customWidth="1"/>
    <x:col min="19" max="19" width="13.33203125" customWidth="1"/>
    <x:col min="20" max="20" width="15.83203125" customWidth="1"/>
    <x:col min="21" max="21" width="16.1640625" customWidth="1"/>
    <x:col min="22" max="22" width="18.83203125" customWidth="1"/>
    <x:col min="23" max="23" width="19.83203125" customWidth="1"/>
    <x:col min="24" max="24" width="19.33203125" customWidth="1"/>
    <x:col min="25" max="33" width="19.83203125" customWidth="1"/>
    <x:col min="34" max="34" width="19.5" customWidth="1"/>
    <x:col min="35" max="36" width="19.83203125" customWidth="1"/>
    <x:col min="37" max="37" width="20.6640625" customWidth="1"/>
    <x:col min="38" max="38" width="21.5" customWidth="1"/>
    <x:col min="39" max="39" width="19.33203125" customWidth="1"/>
    <x:col min="40" max="53" width="20.33203125" customWidth="1"/>
    <x:col min="54" max="54" width="26" customWidth="1"/>
    <x:col min="56" max="56" width="42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 t="s">
        <x:v>33</x:v>
      </x:c>
      <x:c r="AI1" t="s">
        <x:v>34</x:v>
      </x:c>
      <x:c r="AJ1" t="s">
        <x:v>35</x:v>
      </x:c>
      <x:c r="AK1" t="s">
        <x:v>36</x:v>
      </x:c>
      <x:c r="AL1" t="s">
        <x:v>37</x:v>
      </x:c>
      <x:c r="AM1" t="s">
        <x:v>38</x:v>
      </x:c>
      <x:c r="AN1" t="s">
        <x:v>39</x:v>
      </x:c>
      <x:c r="AO1" t="s">
        <x:v>40</x:v>
      </x:c>
      <x:c r="AP1" t="s">
        <x:v>41</x:v>
      </x:c>
      <x:c r="AQ1" t="s">
        <x:v>42</x:v>
      </x:c>
      <x:c r="AR1" t="s">
        <x:v>43</x:v>
      </x:c>
      <x:c r="AS1" t="s">
        <x:v>44</x:v>
      </x:c>
      <x:c r="AT1" t="s">
        <x:v>45</x:v>
      </x:c>
      <x:c r="AU1" t="s">
        <x:v>46</x:v>
      </x:c>
      <x:c r="AV1" t="s">
        <x:v>47</x:v>
      </x:c>
      <x:c r="AW1" t="s">
        <x:v>48</x:v>
      </x:c>
      <x:c r="AX1" t="s">
        <x:v>49</x:v>
      </x:c>
      <x:c r="AY1" t="s">
        <x:v>50</x:v>
      </x:c>
      <x:c r="AZ1" t="s">
        <x:v>51</x:v>
      </x:c>
      <x:c r="BA1" t="s">
        <x:v>52</x:v>
      </x:c>
      <x:c r="BB1" t="s">
        <x:v>53</x:v>
      </x:c>
      <x:c r="BD1" s="10" t="str">
        <x:v>Hinweis</x:v>
      </x:c>
    </x:row>
    <x:row r="2">
      <x:c r="A2" s="1" t="s">
        <x:v>54</x:v>
      </x:c>
      <x:c r="B2" s="2" t="str">
        <x:v>Infektionskrankheiten</x:v>
      </x:c>
      <x:c r="C2" s="3">
        <x:v>12</x:v>
      </x:c>
      <x:c r="D2" s="3">
        <x:v>19</x:v>
      </x:c>
      <x:c r="E2" s="3">
        <x:v>4</x:v>
      </x:c>
      <x:c r="F2" s="3">
        <x:v>5</x:v>
      </x:c>
      <x:c r="G2" s="3">
        <x:v>21</x:v>
      </x:c>
      <x:c r="H2" s="3">
        <x:v>24</x:v>
      </x:c>
      <x:c r="I2" s="3">
        <x:v>42</x:v>
      </x:c>
      <x:c r="J2" s="3">
        <x:v>70</x:v>
      </x:c>
      <x:c r="K2" s="3">
        <x:v>139</x:v>
      </x:c>
      <x:c r="L2" s="3">
        <x:v>267</x:v>
      </x:c>
      <x:c r="M2" s="3">
        <x:v>399</x:v>
      </x:c>
      <x:c r="N2" s="3">
        <x:v>502</x:v>
      </x:c>
      <x:c r="O2" s="3">
        <x:v>609</x:v>
      </x:c>
      <x:c r="P2" s="3">
        <x:v>776</x:v>
      </x:c>
      <x:c r="Q2" s="3">
        <x:v>1400</x:v>
      </x:c>
      <x:c r="R2" s="3">
        <x:v>1715</x:v>
      </x:c>
      <x:c r="S2" s="3">
        <x:v>2482</x:v>
      </x:c>
      <x:c r="T2" s="3">
        <x:v>0</x:v>
      </x:c>
      <x:c r="U2" s="3">
        <x:v>9</x:v>
      </x:c>
      <x:c r="V2" s="3">
        <x:v>25</x:v>
      </x:c>
      <x:c r="W2" s="3">
        <x:v>5</x:v>
      </x:c>
      <x:c r="X2" s="3">
        <x:v>3</x:v>
      </x:c>
      <x:c r="Y2" s="3">
        <x:v>9</x:v>
      </x:c>
      <x:c r="Z2" s="3">
        <x:v>21</x:v>
      </x:c>
      <x:c r="AA2" s="3">
        <x:v>27</x:v>
      </x:c>
      <x:c r="AB2" s="3">
        <x:v>43</x:v>
      </x:c>
      <x:c r="AC2" s="3">
        <x:v>41</x:v>
      </x:c>
      <x:c r="AD2" s="3">
        <x:v>101</x:v>
      </x:c>
      <x:c r="AE2" s="3">
        <x:v>186</x:v>
      </x:c>
      <x:c r="AF2" s="3">
        <x:v>262</x:v>
      </x:c>
      <x:c r="AG2" s="3">
        <x:v>403</x:v>
      </x:c>
      <x:c r="AH2" s="3">
        <x:v>543</x:v>
      </x:c>
      <x:c r="AJ2" s="3">
        <x:v>1887</x:v>
      </x:c>
      <x:c r="AK2" s="3">
        <x:v>4541</x:v>
      </x:c>
      <x:c r="AL2" t="n">
        <x:f>Tabelle2[[#This Row],[1 jahre Weiblich]]+Tabelle2[[#This Row],[unter 1 Jahr Männlich]]</x:f>
        <x:v>21</x:v>
      </x:c>
      <x:c r="AM2" t="n">
        <x:f>Tabelle2[[#This Row],[1-15 Jahre Weiblich]]+Tabelle2[[#This Row],[1-15 jahre Mänlich]]</x:f>
        <x:v>44</x:v>
      </x:c>
      <x:c r="AN2" t="n">
        <x:f>Tabelle2[[#This Row],[15-20 Jahre Weiblich]]+Tabelle2[[#This Row],[15-20 jahre Männlich]]</x:f>
        <x:v>9</x:v>
      </x:c>
      <x:c r="AO2" t="n">
        <x:f>Tabelle2[[#This Row],[20-25 jahre weiblich]]+Tabelle2[[#This Row],[20-25 jahre Männlich]]</x:f>
        <x:v>8</x:v>
      </x:c>
      <x:c r="AP2" t="n">
        <x:f>Tabelle2[[#This Row],[25-30 Jahre Weiblich]]+Tabelle2[[#This Row],[25-30 jahre Männlich]]</x:f>
        <x:v>30</x:v>
      </x:c>
      <x:c r="AQ2" t="n">
        <x:f>Tabelle2[[#This Row],[30-35 Jahre Weiblich]]+Tabelle2[[#This Row],[30-35 jahre Männlich]]</x:f>
        <x:v>45</x:v>
      </x:c>
      <x:c r="AR2" t="n">
        <x:f>Tabelle2[[#This Row],[35-40 Jahre Weiblich]]+Tabelle2[[#This Row],[35-40 jahre  Männlich]]</x:f>
        <x:v>69</x:v>
      </x:c>
      <x:c r="AS2" t="n">
        <x:f>Tabelle2[[#This Row],[40-45 Jahre Weiblich]]+Tabelle2[[#This Row],[40-45 jahre Männlich]]</x:f>
        <x:v>113</x:v>
      </x:c>
      <x:c r="AT2" t="n">
        <x:f>Tabelle2[[#This Row],[45-50 Jahre Weiblich]]+Tabelle2[[#This Row],[45-50 jahre Männlich]]</x:f>
        <x:v>180</x:v>
      </x:c>
      <x:c r="AU2" t="n">
        <x:f>Tabelle2[[#This Row],[50-55 Jahre Weiblich]]+Tabelle2[[#This Row],[50-55 jahre Männlich]]</x:f>
        <x:v>368</x:v>
      </x:c>
      <x:c r="AV2" t="n">
        <x:f>Tabelle2[[#This Row],[55-60 Jahre Weiblich]]+Tabelle2[[#This Row],[55-60 jahre Männlich]]</x:f>
        <x:v>585</x:v>
      </x:c>
      <x:c r="AW2" t="n">
        <x:f>Tabelle2[[#This Row],[60-65 Jahre Weiblich]]+Tabelle2[[#This Row],[60-65 jahre Männlich]]</x:f>
        <x:v>764</x:v>
      </x:c>
      <x:c r="AX2" t="n">
        <x:f>Tabelle2[[#This Row],[65-70 Jahre Weiblich]]+Tabelle2[[#This Row],[65-70 Jahre  Männlich]]</x:f>
        <x:v>1012</x:v>
      </x:c>
      <x:c r="AY2" t="n">
        <x:f>Tabelle2[[#This Row],[70-75Jahre Weiblich]]+Tabelle2[[#This Row],[70-75 jahre Männlch]]</x:f>
        <x:v>1319</x:v>
      </x:c>
      <x:c r="AZ2" t="e">
        <x:f>Tabelle2[[#This Row],[75-80 Jahre Weiblich]]+Tabelle2[[#This Row],[75-80 jahre Männlich]]</x:f>
      </x:c>
      <x:c r="BA2" t="n">
        <x:f>Tabelle2[[#This Row],[80-85 Jahre Weiblich]]+Tabelle2[[#This Row],[80-85 jahre Männlich]]</x:f>
        <x:v>3602</x:v>
      </x:c>
      <x:c r="BB2" t="n">
        <x:f>Tabelle2[[#This Row],[85 und mehr Weiblich]]+Tabelle2[[#This Row],[85 und mehr]]</x:f>
        <x:v>7023</x:v>
      </x:c>
      <x:c r="BD2" s="8" t="str">
        <x:v>Krankheitsnamen in Spalte B wurden an PowerPoint-Labels angepasst; Alias-Zeilen 84-86 für abweichende Kurzlabels.</x:v>
      </x:c>
    </x:row>
    <x:row r="3">
      <x:c r="A3" s="1" t="s">
        <x:v>54</x:v>
      </x:c>
      <x:c r="B3" s="2" t="s">
        <x:v>55</x:v>
      </x:c>
      <x:c r="C3" s="3">
        <x:v>0</x:v>
      </x:c>
      <x:c r="D3" s="3">
        <x:v>0</x:v>
      </x:c>
      <x:c r="E3" s="3">
        <x:v>1</x:v>
      </x:c>
      <x:c r="F3" s="3">
        <x:v>0</x:v>
      </x:c>
      <x:c r="G3" s="3">
        <x:v>2</x:v>
      </x:c>
      <x:c r="H3" s="3">
        <x:v>2</x:v>
      </x:c>
      <x:c r="I3" s="3">
        <x:v>1</x:v>
      </x:c>
      <x:c r="J3" s="3">
        <x:v>10</x:v>
      </x:c>
      <x:c r="K3" s="3">
        <x:v>4</x:v>
      </x:c>
      <x:c r="L3" s="3">
        <x:v>13</x:v>
      </x:c>
      <x:c r="M3" s="3">
        <x:v>12</x:v>
      </x:c>
      <x:c r="N3" s="3">
        <x:v>11</x:v>
      </x:c>
      <x:c r="O3" s="3">
        <x:v>15</x:v>
      </x:c>
      <x:c r="P3" s="3">
        <x:v>20</x:v>
      </x:c>
      <x:c r="Q3" s="3">
        <x:v>24</x:v>
      </x:c>
      <x:c r="R3" s="3">
        <x:v>27</x:v>
      </x:c>
      <x:c r="S3" s="3">
        <x:v>45</x:v>
      </x:c>
      <x:c r="T3" s="3">
        <x:v>0</x:v>
      </x:c>
      <x:c r="U3" s="3">
        <x:v>0</x:v>
      </x:c>
      <x:c r="V3" s="3">
        <x:v>0</x:v>
      </x:c>
      <x:c r="W3" s="3">
        <x:v>0</x:v>
      </x:c>
      <x:c r="X3" s="3">
        <x:v>2</x:v>
      </x:c>
      <x:c r="Y3" s="3">
        <x:v>0</x:v>
      </x:c>
      <x:c r="Z3" s="3">
        <x:v>0</x:v>
      </x:c>
      <x:c r="AA3" s="3">
        <x:v>1</x:v>
      </x:c>
      <x:c r="AB3" s="3">
        <x:v>2</x:v>
      </x:c>
      <x:c r="AC3" s="3">
        <x:v>0</x:v>
      </x:c>
      <x:c r="AD3" s="3">
        <x:v>5</x:v>
      </x:c>
      <x:c r="AE3" s="3">
        <x:v>2</x:v>
      </x:c>
      <x:c r="AF3" s="3">
        <x:v>7</x:v>
      </x:c>
      <x:c r="AG3" s="3">
        <x:v>6</x:v>
      </x:c>
      <x:c r="AH3" s="3">
        <x:v>9</x:v>
      </x:c>
      <x:c r="AJ3" s="3">
        <x:v>23</x:v>
      </x:c>
      <x:c r="AK3" s="3">
        <x:v>35</x:v>
      </x:c>
      <x:c r="AL3" t="n">
        <x:f>Tabelle2[[#This Row],[1 jahre Weiblich]]+Tabelle2[[#This Row],[unter 1 Jahr Männlich]]</x:f>
        <x:v>0</x:v>
      </x:c>
      <x:c r="AM3" t="n">
        <x:f>Tabelle2[[#This Row],[1-15 Jahre Weiblich]]+Tabelle2[[#This Row],[1-15 jahre Mänlich]]</x:f>
        <x:v>0</x:v>
      </x:c>
      <x:c r="AN3" t="n">
        <x:f>Tabelle2[[#This Row],[15-20 Jahre Weiblich]]+Tabelle2[[#This Row],[15-20 jahre Männlich]]</x:f>
        <x:v>1</x:v>
      </x:c>
      <x:c r="AO3" t="n">
        <x:f>Tabelle2[[#This Row],[20-25 jahre weiblich]]+Tabelle2[[#This Row],[20-25 jahre Männlich]]</x:f>
        <x:v>2</x:v>
      </x:c>
      <x:c r="AP3" t="n">
        <x:f>Tabelle2[[#This Row],[25-30 Jahre Weiblich]]+Tabelle2[[#This Row],[25-30 jahre Männlich]]</x:f>
        <x:v>2</x:v>
      </x:c>
      <x:c r="AQ3" t="n">
        <x:f>Tabelle2[[#This Row],[30-35 Jahre Weiblich]]+Tabelle2[[#This Row],[30-35 jahre Männlich]]</x:f>
        <x:v>2</x:v>
      </x:c>
      <x:c r="AR3" t="n">
        <x:f>Tabelle2[[#This Row],[35-40 Jahre Weiblich]]+Tabelle2[[#This Row],[35-40 jahre  Männlich]]</x:f>
        <x:v>2</x:v>
      </x:c>
      <x:c r="AS3" t="n">
        <x:f>Tabelle2[[#This Row],[40-45 Jahre Weiblich]]+Tabelle2[[#This Row],[40-45 jahre Männlich]]</x:f>
        <x:v>12</x:v>
      </x:c>
      <x:c r="AT3" t="n">
        <x:f>Tabelle2[[#This Row],[45-50 Jahre Weiblich]]+Tabelle2[[#This Row],[45-50 jahre Männlich]]</x:f>
        <x:v>4</x:v>
      </x:c>
      <x:c r="AU3" t="n">
        <x:f>Tabelle2[[#This Row],[50-55 Jahre Weiblich]]+Tabelle2[[#This Row],[50-55 jahre Männlich]]</x:f>
        <x:v>18</x:v>
      </x:c>
      <x:c r="AV3" t="n">
        <x:f>Tabelle2[[#This Row],[55-60 Jahre Weiblich]]+Tabelle2[[#This Row],[55-60 jahre Männlich]]</x:f>
        <x:v>14</x:v>
      </x:c>
      <x:c r="AW3" t="n">
        <x:f>Tabelle2[[#This Row],[60-65 Jahre Weiblich]]+Tabelle2[[#This Row],[60-65 jahre Männlich]]</x:f>
        <x:v>18</x:v>
      </x:c>
      <x:c r="AX3" t="n">
        <x:f>Tabelle2[[#This Row],[65-70 Jahre Weiblich]]+Tabelle2[[#This Row],[65-70 Jahre  Männlich]]</x:f>
        <x:v>21</x:v>
      </x:c>
      <x:c r="AY3" t="n">
        <x:f>Tabelle2[[#This Row],[70-75Jahre Weiblich]]+Tabelle2[[#This Row],[70-75 jahre Männlch]]</x:f>
        <x:v>29</x:v>
      </x:c>
      <x:c r="AZ3" t="e">
        <x:f>Tabelle2[[#This Row],[75-80 Jahre Weiblich]]+Tabelle2[[#This Row],[75-80 jahre Männlich]]</x:f>
      </x:c>
      <x:c r="BA3" t="n">
        <x:f>Tabelle2[[#This Row],[80-85 Jahre Weiblich]]+Tabelle2[[#This Row],[80-85 jahre Männlich]]</x:f>
        <x:v>50</x:v>
      </x:c>
      <x:c r="BB3" t="n">
        <x:f>Tabelle2[[#This Row],[85 und mehr Weiblich]]+Tabelle2[[#This Row],[85 und mehr]]</x:f>
        <x:v>80</x:v>
      </x:c>
    </x:row>
    <x:row r="4">
      <x:c r="A4" s="1" t="s">
        <x:v>54</x:v>
      </x:c>
      <x:c r="B4" s="2" t="s">
        <x:v>56</x:v>
      </x:c>
      <x:c r="C4" s="3">
        <x:v>2</x:v>
      </x:c>
      <x:c r="D4" s="3">
        <x:v>5</x:v>
      </x:c>
      <x:c r="E4" s="3">
        <x:v>1</x:v>
      </x:c>
      <x:c r="F4" s="3">
        <x:v>1</x:v>
      </x:c>
      <x:c r="G4" s="3">
        <x:v>1</x:v>
      </x:c>
      <x:c r="H4" s="3">
        <x:v>0</x:v>
      </x:c>
      <x:c r="I4" s="3">
        <x:v>1</x:v>
      </x:c>
      <x:c r="J4" s="3">
        <x:v>0</x:v>
      </x:c>
      <x:c r="K4" s="3">
        <x:v>0</x:v>
      </x:c>
      <x:c r="L4" s="3">
        <x:v>1</x:v>
      </x:c>
      <x:c r="M4" s="3">
        <x:v>1</x:v>
      </x:c>
      <x:c r="N4" s="3">
        <x:v>1</x:v>
      </x:c>
      <x:c r="O4" s="3">
        <x:v>0</x:v>
      </x:c>
      <x:c r="P4" s="3">
        <x:v>0</x:v>
      </x:c>
      <x:c r="Q4" s="3">
        <x:v>0</x:v>
      </x:c>
      <x:c r="R4" s="3">
        <x:v>0</x:v>
      </x:c>
      <x:c r="S4" s="3">
        <x:v>0</x:v>
      </x:c>
      <x:c r="T4" s="3">
        <x:v>0</x:v>
      </x:c>
      <x:c r="U4" s="3">
        <x:v>1</x:v>
      </x:c>
      <x:c r="V4" s="3">
        <x:v>7</x:v>
      </x:c>
      <x:c r="W4" s="3">
        <x:v>0</x:v>
      </x:c>
      <x:c r="X4" s="3">
        <x:v>0</x:v>
      </x:c>
      <x:c r="Y4" s="3">
        <x:v>0</x:v>
      </x:c>
      <x:c r="Z4" s="3">
        <x:v>1</x:v>
      </x:c>
      <x:c r="AA4" s="3">
        <x:v>1</x:v>
      </x:c>
      <x:c r="AB4" s="3">
        <x:v>0</x:v>
      </x:c>
      <x:c r="AC4" s="3">
        <x:v>0</x:v>
      </x:c>
      <x:c r="AD4" s="3">
        <x:v>0</x:v>
      </x:c>
      <x:c r="AE4" s="3">
        <x:v>0</x:v>
      </x:c>
      <x:c r="AF4" s="3">
        <x:v>0</x:v>
      </x:c>
      <x:c r="AG4" s="3">
        <x:v>0</x:v>
      </x:c>
      <x:c r="AH4" s="3">
        <x:v>1</x:v>
      </x:c>
      <x:c r="AJ4" s="3">
        <x:v>1</x:v>
      </x:c>
      <x:c r="AK4" s="3">
        <x:v>2</x:v>
      </x:c>
      <x:c r="AL4" t="n">
        <x:f>Tabelle2[[#This Row],[1 jahre Weiblich]]+Tabelle2[[#This Row],[unter 1 Jahr Männlich]]</x:f>
        <x:v>3</x:v>
      </x:c>
      <x:c r="AM4" t="n">
        <x:f>Tabelle2[[#This Row],[1-15 Jahre Weiblich]]+Tabelle2[[#This Row],[1-15 jahre Mänlich]]</x:f>
        <x:v>12</x:v>
      </x:c>
      <x:c r="AN4" t="n">
        <x:f>Tabelle2[[#This Row],[15-20 Jahre Weiblich]]+Tabelle2[[#This Row],[15-20 jahre Männlich]]</x:f>
        <x:v>1</x:v>
      </x:c>
      <x:c r="AO4" t="n">
        <x:f>Tabelle2[[#This Row],[20-25 jahre weiblich]]+Tabelle2[[#This Row],[20-25 jahre Männlich]]</x:f>
        <x:v>1</x:v>
      </x:c>
      <x:c r="AP4" t="n">
        <x:f>Tabelle2[[#This Row],[25-30 Jahre Weiblich]]+Tabelle2[[#This Row],[25-30 jahre Männlich]]</x:f>
        <x:v>1</x:v>
      </x:c>
      <x:c r="AQ4" t="n">
        <x:f>Tabelle2[[#This Row],[30-35 Jahre Weiblich]]+Tabelle2[[#This Row],[30-35 jahre Männlich]]</x:f>
        <x:v>1</x:v>
      </x:c>
      <x:c r="AR4" t="n">
        <x:f>Tabelle2[[#This Row],[35-40 Jahre Weiblich]]+Tabelle2[[#This Row],[35-40 jahre  Männlich]]</x:f>
        <x:v>2</x:v>
      </x:c>
      <x:c r="AS4" t="n">
        <x:f>Tabelle2[[#This Row],[40-45 Jahre Weiblich]]+Tabelle2[[#This Row],[40-45 jahre Männlich]]</x:f>
        <x:v>0</x:v>
      </x:c>
      <x:c r="AT4" t="n">
        <x:f>Tabelle2[[#This Row],[45-50 Jahre Weiblich]]+Tabelle2[[#This Row],[45-50 jahre Männlich]]</x:f>
        <x:v>0</x:v>
      </x:c>
      <x:c r="AU4" t="n">
        <x:f>Tabelle2[[#This Row],[50-55 Jahre Weiblich]]+Tabelle2[[#This Row],[50-55 jahre Männlich]]</x:f>
        <x:v>1</x:v>
      </x:c>
      <x:c r="AV4" t="n">
        <x:f>Tabelle2[[#This Row],[55-60 Jahre Weiblich]]+Tabelle2[[#This Row],[55-60 jahre Männlich]]</x:f>
        <x:v>1</x:v>
      </x:c>
      <x:c r="AW4" t="n">
        <x:f>Tabelle2[[#This Row],[60-65 Jahre Weiblich]]+Tabelle2[[#This Row],[60-65 jahre Männlich]]</x:f>
        <x:v>1</x:v>
      </x:c>
      <x:c r="AX4" t="n">
        <x:f>Tabelle2[[#This Row],[65-70 Jahre Weiblich]]+Tabelle2[[#This Row],[65-70 Jahre  Männlich]]</x:f>
        <x:v>0</x:v>
      </x:c>
      <x:c r="AY4" t="n">
        <x:f>Tabelle2[[#This Row],[70-75Jahre Weiblich]]+Tabelle2[[#This Row],[70-75 jahre Männlch]]</x:f>
        <x:v>1</x:v>
      </x:c>
      <x:c r="AZ4" t="e">
        <x:f>Tabelle2[[#This Row],[75-80 Jahre Weiblich]]+Tabelle2[[#This Row],[75-80 jahre Männlich]]</x:f>
      </x:c>
      <x:c r="BA4" t="n">
        <x:f>Tabelle2[[#This Row],[80-85 Jahre Weiblich]]+Tabelle2[[#This Row],[80-85 jahre Männlich]]</x:f>
        <x:v>1</x:v>
      </x:c>
      <x:c r="BB4" t="n">
        <x:f>Tabelle2[[#This Row],[85 und mehr Weiblich]]+Tabelle2[[#This Row],[85 und mehr]]</x:f>
        <x:v>2</x:v>
      </x:c>
    </x:row>
    <x:row r="5">
      <x:c r="A5" s="1" t="s">
        <x:v>54</x:v>
      </x:c>
      <x:c r="B5" s="2" t="s">
        <x:v>57</x:v>
      </x:c>
      <x:c r="C5" s="3">
        <x:v>0</x:v>
      </x:c>
      <x:c r="D5" s="3">
        <x:v>0</x:v>
      </x:c>
      <x:c r="E5" s="3">
        <x:v>0</x:v>
      </x:c>
      <x:c r="F5" s="3">
        <x:v>0</x:v>
      </x:c>
      <x:c r="G5" s="3">
        <x:v>1</x:v>
      </x:c>
      <x:c r="H5" s="3">
        <x:v>6</x:v>
      </x:c>
      <x:c r="I5" s="3">
        <x:v>9</x:v>
      </x:c>
      <x:c r="J5" s="3">
        <x:v>16</x:v>
      </x:c>
      <x:c r="K5" s="3">
        <x:v>29</x:v>
      </x:c>
      <x:c r="L5" s="3">
        <x:v>49</x:v>
      </x:c>
      <x:c r="M5" s="3">
        <x:v>55</x:v>
      </x:c>
      <x:c r="N5" s="3">
        <x:v>49</x:v>
      </x:c>
      <x:c r="O5" s="3">
        <x:v>37</x:v>
      </x:c>
      <x:c r="P5" s="3">
        <x:v>32</x:v>
      </x:c>
      <x:c r="Q5" s="3">
        <x:v>41</x:v>
      </x:c>
      <x:c r="R5" s="3">
        <x:v>31</x:v>
      </x:c>
      <x:c r="S5" s="3">
        <x:v>26</x:v>
      </x:c>
      <x:c r="T5" s="3">
        <x:v>0</x:v>
      </x:c>
      <x:c r="U5" s="3">
        <x:v>0</x:v>
      </x:c>
      <x:c r="V5" s="3">
        <x:v>0</x:v>
      </x:c>
      <x:c r="W5" s="3">
        <x:v>0</x:v>
      </x:c>
      <x:c r="X5" s="3">
        <x:v>0</x:v>
      </x:c>
      <x:c r="Y5" s="3">
        <x:v>0</x:v>
      </x:c>
      <x:c r="Z5" s="3">
        <x:v>2</x:v>
      </x:c>
      <x:c r="AA5" s="3">
        <x:v>2</x:v>
      </x:c>
      <x:c r="AB5" s="3">
        <x:v>7</x:v>
      </x:c>
      <x:c r="AC5" s="3">
        <x:v>7</x:v>
      </x:c>
      <x:c r="AD5" s="3">
        <x:v>12</x:v>
      </x:c>
      <x:c r="AE5" s="3">
        <x:v>17</x:v>
      </x:c>
      <x:c r="AF5" s="3">
        <x:v>24</x:v>
      </x:c>
      <x:c r="AG5" s="3">
        <x:v>27</x:v>
      </x:c>
      <x:c r="AH5" s="3">
        <x:v>19</x:v>
      </x:c>
      <x:c r="AJ5" s="3">
        <x:v>61</x:v>
      </x:c>
      <x:c r="AK5" s="3">
        <x:v>72</x:v>
      </x:c>
      <x:c r="AL5" t="n">
        <x:f>Tabelle2[[#This Row],[1 jahre Weiblich]]+Tabelle2[[#This Row],[unter 1 Jahr Männlich]]</x:f>
        <x:v>0</x:v>
      </x:c>
      <x:c r="AM5" t="n">
        <x:f>Tabelle2[[#This Row],[1-15 Jahre Weiblich]]+Tabelle2[[#This Row],[1-15 jahre Mänlich]]</x:f>
        <x:v>0</x:v>
      </x:c>
      <x:c r="AN5" t="n">
        <x:f>Tabelle2[[#This Row],[15-20 Jahre Weiblich]]+Tabelle2[[#This Row],[15-20 jahre Männlich]]</x:f>
        <x:v>0</x:v>
      </x:c>
      <x:c r="AO5" t="n">
        <x:f>Tabelle2[[#This Row],[20-25 jahre weiblich]]+Tabelle2[[#This Row],[20-25 jahre Männlich]]</x:f>
        <x:v>0</x:v>
      </x:c>
      <x:c r="AP5" t="n">
        <x:f>Tabelle2[[#This Row],[25-30 Jahre Weiblich]]+Tabelle2[[#This Row],[25-30 jahre Männlich]]</x:f>
        <x:v>1</x:v>
      </x:c>
      <x:c r="AQ5" t="n">
        <x:f>Tabelle2[[#This Row],[30-35 Jahre Weiblich]]+Tabelle2[[#This Row],[30-35 jahre Männlich]]</x:f>
        <x:v>8</x:v>
      </x:c>
      <x:c r="AR5" t="n">
        <x:f>Tabelle2[[#This Row],[35-40 Jahre Weiblich]]+Tabelle2[[#This Row],[35-40 jahre  Männlich]]</x:f>
        <x:v>11</x:v>
      </x:c>
      <x:c r="AS5" t="n">
        <x:f>Tabelle2[[#This Row],[40-45 Jahre Weiblich]]+Tabelle2[[#This Row],[40-45 jahre Männlich]]</x:f>
        <x:v>23</x:v>
      </x:c>
      <x:c r="AT5" t="n">
        <x:f>Tabelle2[[#This Row],[45-50 Jahre Weiblich]]+Tabelle2[[#This Row],[45-50 jahre Männlich]]</x:f>
        <x:v>36</x:v>
      </x:c>
      <x:c r="AU5" t="n">
        <x:f>Tabelle2[[#This Row],[50-55 Jahre Weiblich]]+Tabelle2[[#This Row],[50-55 jahre Männlich]]</x:f>
        <x:v>61</x:v>
      </x:c>
      <x:c r="AV5" t="n">
        <x:f>Tabelle2[[#This Row],[55-60 Jahre Weiblich]]+Tabelle2[[#This Row],[55-60 jahre Männlich]]</x:f>
        <x:v>72</x:v>
      </x:c>
      <x:c r="AW5" t="n">
        <x:f>Tabelle2[[#This Row],[60-65 Jahre Weiblich]]+Tabelle2[[#This Row],[60-65 jahre Männlich]]</x:f>
        <x:v>73</x:v>
      </x:c>
      <x:c r="AX5" t="n">
        <x:f>Tabelle2[[#This Row],[65-70 Jahre Weiblich]]+Tabelle2[[#This Row],[65-70 Jahre  Männlich]]</x:f>
        <x:v>64</x:v>
      </x:c>
      <x:c r="AY5" t="n">
        <x:f>Tabelle2[[#This Row],[70-75Jahre Weiblich]]+Tabelle2[[#This Row],[70-75 jahre Männlch]]</x:f>
        <x:v>51</x:v>
      </x:c>
      <x:c r="AZ5" t="e">
        <x:f>Tabelle2[[#This Row],[75-80 Jahre Weiblich]]+Tabelle2[[#This Row],[75-80 jahre Männlich]]</x:f>
      </x:c>
      <x:c r="BA5" t="n">
        <x:f>Tabelle2[[#This Row],[80-85 Jahre Weiblich]]+Tabelle2[[#This Row],[80-85 jahre Männlich]]</x:f>
        <x:v>92</x:v>
      </x:c>
      <x:c r="BB5" t="n">
        <x:f>Tabelle2[[#This Row],[85 und mehr Weiblich]]+Tabelle2[[#This Row],[85 und mehr]]</x:f>
        <x:v>98</x:v>
      </x:c>
    </x:row>
    <x:row r="6">
      <x:c r="A6" s="1" t="s">
        <x:v>54</x:v>
      </x:c>
      <x:c r="B6" s="2" t="s">
        <x:v>58</x:v>
      </x:c>
      <x:c r="C6" s="3">
        <x:v>0</x:v>
      </x:c>
      <x:c r="D6" s="3">
        <x:v>0</x:v>
      </x:c>
      <x:c r="E6" s="3">
        <x:v>0</x:v>
      </x:c>
      <x:c r="F6" s="3">
        <x:v>2</x:v>
      </x:c>
      <x:c r="G6" s="3">
        <x:v>1</x:v>
      </x:c>
      <x:c r="H6" s="3">
        <x:v>8</x:v>
      </x:c>
      <x:c r="I6" s="3">
        <x:v>14</x:v>
      </x:c>
      <x:c r="J6" s="3">
        <x:v>11</x:v>
      </x:c>
      <x:c r="K6" s="3">
        <x:v>36</x:v>
      </x:c>
      <x:c r="L6" s="3">
        <x:v>42</x:v>
      </x:c>
      <x:c r="M6" s="3">
        <x:v>43</x:v>
      </x:c>
      <x:c r="N6" s="3">
        <x:v>31</x:v>
      </x:c>
      <x:c r="O6" s="3">
        <x:v>13</x:v>
      </x:c>
      <x:c r="P6" s="3">
        <x:v>15</x:v>
      </x:c>
      <x:c r="Q6" s="3">
        <x:v>20</x:v>
      </x:c>
      <x:c r="R6" s="3">
        <x:v>5</x:v>
      </x:c>
      <x:c r="S6" s="3">
        <x:v>2</x:v>
      </x:c>
      <x:c r="T6" s="3">
        <x:v>0</x:v>
      </x:c>
      <x:c r="U6" s="3">
        <x:v>1</x:v>
      </x:c>
      <x:c r="V6" s="3">
        <x:v>0</x:v>
      </x:c>
      <x:c r="W6" s="3">
        <x:v>0</x:v>
      </x:c>
      <x:c r="X6" s="3">
        <x:v>0</x:v>
      </x:c>
      <x:c r="Y6" s="3">
        <x:v>1</x:v>
      </x:c>
      <x:c r="Z6" s="3">
        <x:v>2</x:v>
      </x:c>
      <x:c r="AA6" s="3">
        <x:v>8</x:v>
      </x:c>
      <x:c r="AB6" s="3">
        <x:v>8</x:v>
      </x:c>
      <x:c r="AC6" s="3">
        <x:v>2</x:v>
      </x:c>
      <x:c r="AD6" s="3">
        <x:v>9</x:v>
      </x:c>
      <x:c r="AE6" s="3">
        <x:v>7</x:v>
      </x:c>
      <x:c r="AF6" s="3">
        <x:v>3</x:v>
      </x:c>
      <x:c r="AG6" s="3">
        <x:v>2</x:v>
      </x:c>
      <x:c r="AH6" s="3">
        <x:v>1</x:v>
      </x:c>
      <x:c r="AJ6" s="3">
        <x:v>2</x:v>
      </x:c>
      <x:c r="AK6" s="3">
        <x:v>3</x:v>
      </x:c>
      <x:c r="AL6" t="n">
        <x:f>Tabelle2[[#This Row],[1 jahre Weiblich]]+Tabelle2[[#This Row],[unter 1 Jahr Männlich]]</x:f>
        <x:v>1</x:v>
      </x:c>
      <x:c r="AM6" t="n">
        <x:f>Tabelle2[[#This Row],[1-15 Jahre Weiblich]]+Tabelle2[[#This Row],[1-15 jahre Mänlich]]</x:f>
        <x:v>0</x:v>
      </x:c>
      <x:c r="AN6" t="n">
        <x:f>Tabelle2[[#This Row],[15-20 Jahre Weiblich]]+Tabelle2[[#This Row],[15-20 jahre Männlich]]</x:f>
        <x:v>0</x:v>
      </x:c>
      <x:c r="AO6" t="n">
        <x:f>Tabelle2[[#This Row],[20-25 jahre weiblich]]+Tabelle2[[#This Row],[20-25 jahre Männlich]]</x:f>
        <x:v>2</x:v>
      </x:c>
      <x:c r="AP6" t="n">
        <x:f>Tabelle2[[#This Row],[25-30 Jahre Weiblich]]+Tabelle2[[#This Row],[25-30 jahre Männlich]]</x:f>
        <x:v>2</x:v>
      </x:c>
      <x:c r="AQ6" t="n">
        <x:f>Tabelle2[[#This Row],[30-35 Jahre Weiblich]]+Tabelle2[[#This Row],[30-35 jahre Männlich]]</x:f>
        <x:v>10</x:v>
      </x:c>
      <x:c r="AR6" t="n">
        <x:f>Tabelle2[[#This Row],[35-40 Jahre Weiblich]]+Tabelle2[[#This Row],[35-40 jahre  Männlich]]</x:f>
        <x:v>22</x:v>
      </x:c>
      <x:c r="AS6" t="n">
        <x:f>Tabelle2[[#This Row],[40-45 Jahre Weiblich]]+Tabelle2[[#This Row],[40-45 jahre Männlich]]</x:f>
        <x:v>19</x:v>
      </x:c>
      <x:c r="AT6" t="n">
        <x:f>Tabelle2[[#This Row],[45-50 Jahre Weiblich]]+Tabelle2[[#This Row],[45-50 jahre Männlich]]</x:f>
        <x:v>38</x:v>
      </x:c>
      <x:c r="AU6" t="n">
        <x:f>Tabelle2[[#This Row],[50-55 Jahre Weiblich]]+Tabelle2[[#This Row],[50-55 jahre Männlich]]</x:f>
        <x:v>51</x:v>
      </x:c>
      <x:c r="AV6" t="n">
        <x:f>Tabelle2[[#This Row],[55-60 Jahre Weiblich]]+Tabelle2[[#This Row],[55-60 jahre Männlich]]</x:f>
        <x:v>50</x:v>
      </x:c>
      <x:c r="AW6" t="n">
        <x:f>Tabelle2[[#This Row],[60-65 Jahre Weiblich]]+Tabelle2[[#This Row],[60-65 jahre Männlich]]</x:f>
        <x:v>34</x:v>
      </x:c>
      <x:c r="AX6" t="n">
        <x:f>Tabelle2[[#This Row],[65-70 Jahre Weiblich]]+Tabelle2[[#This Row],[65-70 Jahre  Männlich]]</x:f>
        <x:v>15</x:v>
      </x:c>
      <x:c r="AY6" t="n">
        <x:f>Tabelle2[[#This Row],[70-75Jahre Weiblich]]+Tabelle2[[#This Row],[70-75 jahre Männlch]]</x:f>
        <x:v>16</x:v>
      </x:c>
      <x:c r="AZ6" t="e">
        <x:f>Tabelle2[[#This Row],[75-80 Jahre Weiblich]]+Tabelle2[[#This Row],[75-80 jahre Männlich]]</x:f>
      </x:c>
      <x:c r="BA6" t="n">
        <x:f>Tabelle2[[#This Row],[80-85 Jahre Weiblich]]+Tabelle2[[#This Row],[80-85 jahre Männlich]]</x:f>
        <x:v>7</x:v>
      </x:c>
      <x:c r="BB6" t="n">
        <x:f>Tabelle2[[#This Row],[85 und mehr Weiblich]]+Tabelle2[[#This Row],[85 und mehr]]</x:f>
        <x:v>5</x:v>
      </x:c>
    </x:row>
    <x:row r="7">
      <x:c r="A7" s="1" t="s">
        <x:v>54</x:v>
      </x:c>
      <x:c r="B7" s="2" t="s">
        <x:v>59</x:v>
      </x:c>
      <x:c r="C7" s="3">
        <x:v>6</x:v>
      </x:c>
      <x:c r="D7" s="3">
        <x:v>147</x:v>
      </x:c>
      <x:c r="E7" s="3">
        <x:v>69</x:v>
      </x:c>
      <x:c r="F7" s="3">
        <x:v>101</x:v>
      </x:c>
      <x:c r="G7" s="3">
        <x:v>142</x:v>
      </x:c>
      <x:c r="H7" s="3">
        <x:v>211</x:v>
      </x:c>
      <x:c r="I7" s="3">
        <x:v>371</x:v>
      </x:c>
      <x:c r="J7" s="3">
        <x:v>681</x:v>
      </x:c>
      <x:c r="K7" s="3">
        <x:v>1741</x:v>
      </x:c>
      <x:c r="L7" s="3">
        <x:v>4423</x:v>
      </x:c>
      <x:c r="M7" s="3">
        <x:v>8184</x:v>
      </x:c>
      <x:c r="N7" s="3">
        <x:v>12045</x:v>
      </x:c>
      <x:c r="O7" s="3">
        <x:v>15755</x:v>
      </x:c>
      <x:c r="P7" s="3">
        <x:v>16701</x:v>
      </x:c>
      <x:c r="Q7" s="3">
        <x:v>24965</x:v>
      </x:c>
      <x:c r="R7" s="3">
        <x:v>22767</x:v>
      </x:c>
      <x:c r="S7" s="3">
        <x:v>20440</x:v>
      </x:c>
      <x:c r="T7" s="3">
        <x:v>0</x:v>
      </x:c>
      <x:c r="U7" s="3">
        <x:v>9</x:v>
      </x:c>
      <x:c r="V7" s="3">
        <x:v>95</x:v>
      </x:c>
      <x:c r="W7" s="3">
        <x:v>42</x:v>
      </x:c>
      <x:c r="X7" s="3">
        <x:v>61</x:v>
      </x:c>
      <x:c r="Y7" s="3">
        <x:v>119</x:v>
      </x:c>
      <x:c r="Z7" s="3">
        <x:v>292</x:v>
      </x:c>
      <x:c r="AA7" s="3">
        <x:v>585</x:v>
      </x:c>
      <x:c r="AB7" s="3">
        <x:v>882</x:v>
      </x:c>
      <x:c r="AC7" s="3">
        <x:v>1976</x:v>
      </x:c>
      <x:c r="AD7" s="3">
        <x:v>3981</x:v>
      </x:c>
      <x:c r="AE7" s="3">
        <x:v>6557</x:v>
      </x:c>
      <x:c r="AF7" s="3">
        <x:v>8655</x:v>
      </x:c>
      <x:c r="AG7" s="3">
        <x:v>10987</x:v>
      </x:c>
      <x:c r="AH7" s="3">
        <x:v>11762</x:v>
      </x:c>
      <x:c r="AJ7" s="3">
        <x:v>19516</x:v>
      </x:c>
      <x:c r="AK7" s="3">
        <x:v>25443</x:v>
      </x:c>
      <x:c r="AL7" t="n">
        <x:f>Tabelle2[[#This Row],[1 jahre Weiblich]]+Tabelle2[[#This Row],[unter 1 Jahr Männlich]]</x:f>
        <x:v>15</x:v>
      </x:c>
      <x:c r="AM7" t="n">
        <x:f>Tabelle2[[#This Row],[1-15 Jahre Weiblich]]+Tabelle2[[#This Row],[1-15 jahre Mänlich]]</x:f>
        <x:v>242</x:v>
      </x:c>
      <x:c r="AN7" t="n">
        <x:f>Tabelle2[[#This Row],[15-20 Jahre Weiblich]]+Tabelle2[[#This Row],[15-20 jahre Männlich]]</x:f>
        <x:v>111</x:v>
      </x:c>
      <x:c r="AO7" t="n">
        <x:f>Tabelle2[[#This Row],[20-25 jahre weiblich]]+Tabelle2[[#This Row],[20-25 jahre Männlich]]</x:f>
        <x:v>162</x:v>
      </x:c>
      <x:c r="AP7" t="n">
        <x:f>Tabelle2[[#This Row],[25-30 Jahre Weiblich]]+Tabelle2[[#This Row],[25-30 jahre Männlich]]</x:f>
        <x:v>261</x:v>
      </x:c>
      <x:c r="AQ7" t="n">
        <x:f>Tabelle2[[#This Row],[30-35 Jahre Weiblich]]+Tabelle2[[#This Row],[30-35 jahre Männlich]]</x:f>
        <x:v>503</x:v>
      </x:c>
      <x:c r="AR7" t="n">
        <x:f>Tabelle2[[#This Row],[35-40 Jahre Weiblich]]+Tabelle2[[#This Row],[35-40 jahre  Männlich]]</x:f>
        <x:v>956</x:v>
      </x:c>
      <x:c r="AS7" t="n">
        <x:f>Tabelle2[[#This Row],[40-45 Jahre Weiblich]]+Tabelle2[[#This Row],[40-45 jahre Männlich]]</x:f>
        <x:v>1563</x:v>
      </x:c>
      <x:c r="AT7" t="n">
        <x:f>Tabelle2[[#This Row],[45-50 Jahre Weiblich]]+Tabelle2[[#This Row],[45-50 jahre Männlich]]</x:f>
        <x:v>3717</x:v>
      </x:c>
      <x:c r="AU7" t="n">
        <x:f>Tabelle2[[#This Row],[50-55 Jahre Weiblich]]+Tabelle2[[#This Row],[50-55 jahre Männlich]]</x:f>
        <x:v>8404</x:v>
      </x:c>
      <x:c r="AV7" t="n">
        <x:f>Tabelle2[[#This Row],[55-60 Jahre Weiblich]]+Tabelle2[[#This Row],[55-60 jahre Männlich]]</x:f>
        <x:v>14741</x:v>
      </x:c>
      <x:c r="AW7" t="n">
        <x:f>Tabelle2[[#This Row],[60-65 Jahre Weiblich]]+Tabelle2[[#This Row],[60-65 jahre Männlich]]</x:f>
        <x:v>20700</x:v>
      </x:c>
      <x:c r="AX7" t="n">
        <x:f>Tabelle2[[#This Row],[65-70 Jahre Weiblich]]+Tabelle2[[#This Row],[65-70 Jahre  Männlich]]</x:f>
        <x:v>26742</x:v>
      </x:c>
      <x:c r="AY7" t="n">
        <x:f>Tabelle2[[#This Row],[70-75Jahre Weiblich]]+Tabelle2[[#This Row],[70-75 jahre Männlch]]</x:f>
        <x:v>28463</x:v>
      </x:c>
      <x:c r="AZ7" t="e">
        <x:f>Tabelle2[[#This Row],[75-80 Jahre Weiblich]]+Tabelle2[[#This Row],[75-80 jahre Männlich]]</x:f>
      </x:c>
      <x:c r="BA7" t="n">
        <x:f>Tabelle2[[#This Row],[80-85 Jahre Weiblich]]+Tabelle2[[#This Row],[80-85 jahre Männlich]]</x:f>
        <x:v>42283</x:v>
      </x:c>
      <x:c r="BB7" t="n">
        <x:f>Tabelle2[[#This Row],[85 und mehr Weiblich]]+Tabelle2[[#This Row],[85 und mehr]]</x:f>
        <x:v>45883</x:v>
      </x:c>
    </x:row>
    <x:row r="8">
      <x:c r="A8" s="1" t="s">
        <x:v>54</x:v>
      </x:c>
      <x:c r="B8" s="2" t="s">
        <x:v>60</x:v>
      </x:c>
      <x:c r="C8" s="3">
        <x:v>5</x:v>
      </x:c>
      <x:c r="D8" s="3">
        <x:v>137</x:v>
      </x:c>
      <x:c r="E8" s="3">
        <x:v>68</x:v>
      </x:c>
      <x:c r="F8" s="3">
        <x:v>98</x:v>
      </x:c>
      <x:c r="G8" s="3">
        <x:v>136</x:v>
      </x:c>
      <x:c r="H8" s="3">
        <x:v>205</x:v>
      </x:c>
      <x:c r="I8" s="3">
        <x:v>364</x:v>
      </x:c>
      <x:c r="J8" s="3">
        <x:v>660</x:v>
      </x:c>
      <x:c r="K8" s="3">
        <x:v>1699</x:v>
      </x:c>
      <x:c r="L8" s="3">
        <x:v>4348</x:v>
      </x:c>
      <x:c r="M8" s="3">
        <x:v>8057</x:v>
      </x:c>
      <x:c r="N8" s="3">
        <x:v>11862</x:v>
      </x:c>
      <x:c r="O8" s="3">
        <x:v>15489</x:v>
      </x:c>
      <x:c r="P8" s="3">
        <x:v>16317</x:v>
      </x:c>
      <x:c r="Q8" s="3">
        <x:v>24231</x:v>
      </x:c>
      <x:c r="R8" s="3">
        <x:v>21889</x:v>
      </x:c>
      <x:c r="S8" s="3">
        <x:v>19245</x:v>
      </x:c>
      <x:c r="T8" s="3">
        <x:v>0</x:v>
      </x:c>
      <x:c r="U8" s="3">
        <x:v>7</x:v>
      </x:c>
      <x:c r="V8" s="3">
        <x:v>87</x:v>
      </x:c>
      <x:c r="W8" s="3">
        <x:v>42</x:v>
      </x:c>
      <x:c r="X8" s="3">
        <x:v>60</x:v>
      </x:c>
      <x:c r="Y8" s="3">
        <x:v>115</x:v>
      </x:c>
      <x:c r="Z8" s="3">
        <x:v>283</x:v>
      </x:c>
      <x:c r="AA8" s="3">
        <x:v>577</x:v>
      </x:c>
      <x:c r="AB8" s="3">
        <x:v>868</x:v>
      </x:c>
      <x:c r="AC8" s="3">
        <x:v>1950</x:v>
      </x:c>
      <x:c r="AD8" s="3">
        <x:v>3932</x:v>
      </x:c>
      <x:c r="AE8" s="3">
        <x:v>6479</x:v>
      </x:c>
      <x:c r="AF8" s="3">
        <x:v>8533</x:v>
      </x:c>
      <x:c r="AG8" s="3">
        <x:v>10782</x:v>
      </x:c>
      <x:c r="AH8" s="3">
        <x:v>11467</x:v>
      </x:c>
      <x:c r="AJ8" s="3">
        <x:v>18543</x:v>
      </x:c>
      <x:c r="AK8" s="3">
        <x:v>23470</x:v>
      </x:c>
      <x:c r="AL8" t="n">
        <x:f>Tabelle2[[#This Row],[1 jahre Weiblich]]+Tabelle2[[#This Row],[unter 1 Jahr Männlich]]</x:f>
        <x:v>12</x:v>
      </x:c>
      <x:c r="AM8" t="n">
        <x:f>Tabelle2[[#This Row],[1-15 Jahre Weiblich]]+Tabelle2[[#This Row],[1-15 jahre Mänlich]]</x:f>
        <x:v>224</x:v>
      </x:c>
      <x:c r="AN8" t="n">
        <x:f>Tabelle2[[#This Row],[15-20 Jahre Weiblich]]+Tabelle2[[#This Row],[15-20 jahre Männlich]]</x:f>
        <x:v>110</x:v>
      </x:c>
      <x:c r="AO8" t="n">
        <x:f>Tabelle2[[#This Row],[20-25 jahre weiblich]]+Tabelle2[[#This Row],[20-25 jahre Männlich]]</x:f>
        <x:v>158</x:v>
      </x:c>
      <x:c r="AP8" t="n">
        <x:f>Tabelle2[[#This Row],[25-30 Jahre Weiblich]]+Tabelle2[[#This Row],[25-30 jahre Männlich]]</x:f>
        <x:v>251</x:v>
      </x:c>
      <x:c r="AQ8" t="n">
        <x:f>Tabelle2[[#This Row],[30-35 Jahre Weiblich]]+Tabelle2[[#This Row],[30-35 jahre Männlich]]</x:f>
        <x:v>488</x:v>
      </x:c>
      <x:c r="AR8" t="n">
        <x:f>Tabelle2[[#This Row],[35-40 Jahre Weiblich]]+Tabelle2[[#This Row],[35-40 jahre  Männlich]]</x:f>
        <x:v>941</x:v>
      </x:c>
      <x:c r="AS8" t="n">
        <x:f>Tabelle2[[#This Row],[40-45 Jahre Weiblich]]+Tabelle2[[#This Row],[40-45 jahre Männlich]]</x:f>
        <x:v>1528</x:v>
      </x:c>
      <x:c r="AT8" t="n">
        <x:f>Tabelle2[[#This Row],[45-50 Jahre Weiblich]]+Tabelle2[[#This Row],[45-50 jahre Männlich]]</x:f>
        <x:v>3649</x:v>
      </x:c>
      <x:c r="AU8" t="n">
        <x:f>Tabelle2[[#This Row],[50-55 Jahre Weiblich]]+Tabelle2[[#This Row],[50-55 jahre Männlich]]</x:f>
        <x:v>8280</x:v>
      </x:c>
      <x:c r="AV8" t="n">
        <x:f>Tabelle2[[#This Row],[55-60 Jahre Weiblich]]+Tabelle2[[#This Row],[55-60 jahre Männlich]]</x:f>
        <x:v>14536</x:v>
      </x:c>
      <x:c r="AW8" t="n">
        <x:f>Tabelle2[[#This Row],[60-65 Jahre Weiblich]]+Tabelle2[[#This Row],[60-65 jahre Männlich]]</x:f>
        <x:v>20395</x:v>
      </x:c>
      <x:c r="AX8" t="n">
        <x:f>Tabelle2[[#This Row],[65-70 Jahre Weiblich]]+Tabelle2[[#This Row],[65-70 Jahre  Männlich]]</x:f>
        <x:v>26271</x:v>
      </x:c>
      <x:c r="AY8" t="n">
        <x:f>Tabelle2[[#This Row],[70-75Jahre Weiblich]]+Tabelle2[[#This Row],[70-75 jahre Männlch]]</x:f>
        <x:v>27784</x:v>
      </x:c>
      <x:c r="AZ8" t="e">
        <x:f>Tabelle2[[#This Row],[75-80 Jahre Weiblich]]+Tabelle2[[#This Row],[75-80 jahre Männlich]]</x:f>
      </x:c>
      <x:c r="BA8" t="n">
        <x:f>Tabelle2[[#This Row],[80-85 Jahre Weiblich]]+Tabelle2[[#This Row],[80-85 jahre Männlich]]</x:f>
        <x:v>40432</x:v>
      </x:c>
      <x:c r="BB8" t="n">
        <x:f>Tabelle2[[#This Row],[85 und mehr Weiblich]]+Tabelle2[[#This Row],[85 und mehr]]</x:f>
        <x:v>42715</x:v>
      </x:c>
    </x:row>
    <x:row r="9">
      <x:c r="A9" s="1" t="s">
        <x:v>54</x:v>
      </x:c>
      <x:c r="B9" s="2" t="s">
        <x:v>61</x:v>
      </x:c>
      <x:c r="C9" s="3">
        <x:v>0</x:v>
      </x:c>
      <x:c r="D9" s="3">
        <x:v>0</x:v>
      </x:c>
      <x:c r="E9" s="3">
        <x:v>0</x:v>
      </x:c>
      <x:c r="F9" s="3">
        <x:v>2</x:v>
      </x:c>
      <x:c r="G9" s="3">
        <x:v>4</x:v>
      </x:c>
      <x:c r="H9" s="3">
        <x:v>5</x:v>
      </x:c>
      <x:c r="I9" s="3">
        <x:v>12</x:v>
      </x:c>
      <x:c r="J9" s="3">
        <x:v>32</x:v>
      </x:c>
      <x:c r="K9" s="3">
        <x:v>94</x:v>
      </x:c>
      <x:c r="L9" s="3">
        <x:v>290</x:v>
      </x:c>
      <x:c r="M9" s="3">
        <x:v>572</x:v>
      </x:c>
      <x:c r="N9" s="3">
        <x:v>719</x:v>
      </x:c>
      <x:c r="O9" s="3">
        <x:v>688</x:v>
      </x:c>
      <x:c r="P9" s="3">
        <x:v>482</x:v>
      </x:c>
      <x:c r="Q9" s="3">
        <x:v>537</x:v>
      </x:c>
      <x:c r="R9" s="3">
        <x:v>321</x:v>
      </x:c>
      <x:c r="S9" s="3">
        <x:v>212</x:v>
      </x:c>
      <x:c r="T9" s="3">
        <x:v>0</x:v>
      </x:c>
      <x:c r="U9" s="3">
        <x:v>0</x:v>
      </x:c>
      <x:c r="V9" s="3">
        <x:v>1</x:v>
      </x:c>
      <x:c r="W9" s="3">
        <x:v>0</x:v>
      </x:c>
      <x:c r="X9" s="3">
        <x:v>2</x:v>
      </x:c>
      <x:c r="Y9" s="3">
        <x:v>0</x:v>
      </x:c>
      <x:c r="Z9" s="3">
        <x:v>3</x:v>
      </x:c>
      <x:c r="AA9" s="3">
        <x:v>7</x:v>
      </x:c>
      <x:c r="AB9" s="3">
        <x:v>5</x:v>
      </x:c>
      <x:c r="AC9" s="3">
        <x:v>17</x:v>
      </x:c>
      <x:c r="AD9" s="3">
        <x:v>64</x:v>
      </x:c>
      <x:c r="AE9" s="3">
        <x:v>150</x:v>
      </x:c>
      <x:c r="AF9" s="3">
        <x:v>187</x:v>
      </x:c>
      <x:c r="AG9" s="3">
        <x:v>190</x:v>
      </x:c>
      <x:c r="AH9" s="3">
        <x:v>170</x:v>
      </x:c>
      <x:c r="AJ9" s="3">
        <x:v>178</x:v>
      </x:c>
      <x:c r="AK9" s="3">
        <x:v>266</x:v>
      </x:c>
      <x:c r="AL9" t="n">
        <x:f>Tabelle2[[#This Row],[1 jahre Weiblich]]+Tabelle2[[#This Row],[unter 1 Jahr Männlich]]</x:f>
        <x:v>0</x:v>
      </x:c>
      <x:c r="AM9" t="n">
        <x:f>Tabelle2[[#This Row],[1-15 Jahre Weiblich]]+Tabelle2[[#This Row],[1-15 jahre Mänlich]]</x:f>
        <x:v>1</x:v>
      </x:c>
      <x:c r="AN9" t="n">
        <x:f>Tabelle2[[#This Row],[15-20 Jahre Weiblich]]+Tabelle2[[#This Row],[15-20 jahre Männlich]]</x:f>
        <x:v>0</x:v>
      </x:c>
      <x:c r="AO9" t="n">
        <x:f>Tabelle2[[#This Row],[20-25 jahre weiblich]]+Tabelle2[[#This Row],[20-25 jahre Männlich]]</x:f>
        <x:v>4</x:v>
      </x:c>
      <x:c r="AP9" t="n">
        <x:f>Tabelle2[[#This Row],[25-30 Jahre Weiblich]]+Tabelle2[[#This Row],[25-30 jahre Männlich]]</x:f>
        <x:v>4</x:v>
      </x:c>
      <x:c r="AQ9" t="n">
        <x:f>Tabelle2[[#This Row],[30-35 Jahre Weiblich]]+Tabelle2[[#This Row],[30-35 jahre Männlich]]</x:f>
        <x:v>8</x:v>
      </x:c>
      <x:c r="AR9" t="n">
        <x:f>Tabelle2[[#This Row],[35-40 Jahre Weiblich]]+Tabelle2[[#This Row],[35-40 jahre  Männlich]]</x:f>
        <x:v>19</x:v>
      </x:c>
      <x:c r="AS9" t="n">
        <x:f>Tabelle2[[#This Row],[40-45 Jahre Weiblich]]+Tabelle2[[#This Row],[40-45 jahre Männlich]]</x:f>
        <x:v>37</x:v>
      </x:c>
      <x:c r="AT9" t="n">
        <x:f>Tabelle2[[#This Row],[45-50 Jahre Weiblich]]+Tabelle2[[#This Row],[45-50 jahre Männlich]]</x:f>
        <x:v>111</x:v>
      </x:c>
      <x:c r="AU9" t="n">
        <x:f>Tabelle2[[#This Row],[50-55 Jahre Weiblich]]+Tabelle2[[#This Row],[50-55 jahre Männlich]]</x:f>
        <x:v>354</x:v>
      </x:c>
      <x:c r="AV9" t="n">
        <x:f>Tabelle2[[#This Row],[55-60 Jahre Weiblich]]+Tabelle2[[#This Row],[55-60 jahre Männlich]]</x:f>
        <x:v>722</x:v>
      </x:c>
      <x:c r="AW9" t="n">
        <x:f>Tabelle2[[#This Row],[60-65 Jahre Weiblich]]+Tabelle2[[#This Row],[60-65 jahre Männlich]]</x:f>
        <x:v>906</x:v>
      </x:c>
      <x:c r="AX9" t="n">
        <x:f>Tabelle2[[#This Row],[65-70 Jahre Weiblich]]+Tabelle2[[#This Row],[65-70 Jahre  Männlich]]</x:f>
        <x:v>878</x:v>
      </x:c>
      <x:c r="AY9" t="n">
        <x:f>Tabelle2[[#This Row],[70-75Jahre Weiblich]]+Tabelle2[[#This Row],[70-75 jahre Männlch]]</x:f>
        <x:v>652</x:v>
      </x:c>
      <x:c r="AZ9" t="e">
        <x:f>Tabelle2[[#This Row],[75-80 Jahre Weiblich]]+Tabelle2[[#This Row],[75-80 jahre Männlich]]</x:f>
      </x:c>
      <x:c r="BA9" t="n">
        <x:f>Tabelle2[[#This Row],[80-85 Jahre Weiblich]]+Tabelle2[[#This Row],[80-85 jahre Männlich]]</x:f>
        <x:v>499</x:v>
      </x:c>
      <x:c r="BB9" t="n">
        <x:f>Tabelle2[[#This Row],[85 und mehr Weiblich]]+Tabelle2[[#This Row],[85 und mehr]]</x:f>
        <x:v>478</x:v>
      </x:c>
    </x:row>
    <x:row r="10">
      <x:c r="A10" s="1" t="s">
        <x:v>54</x:v>
      </x:c>
      <x:c r="B10" s="2" t="s">
        <x:v>62</x:v>
      </x:c>
      <x:c r="C10" s="3">
        <x:v>0</x:v>
      </x:c>
      <x:c r="D10" s="3">
        <x:v>0</x:v>
      </x:c>
      <x:c r="E10" s="3">
        <x:v>0</x:v>
      </x:c>
      <x:c r="F10" s="3">
        <x:v>0</x:v>
      </x:c>
      <x:c r="G10" s="3">
        <x:v>1</x:v>
      </x:c>
      <x:c r="H10" s="3">
        <x:v>4</x:v>
      </x:c>
      <x:c r="I10" s="3">
        <x:v>12</x:v>
      </x:c>
      <x:c r="J10" s="3">
        <x:v>25</x:v>
      </x:c>
      <x:c r="K10" s="3">
        <x:v>94</x:v>
      </x:c>
      <x:c r="L10" s="3">
        <x:v>277</x:v>
      </x:c>
      <x:c r="M10" s="3">
        <x:v>494</x:v>
      </x:c>
      <x:c r="N10" s="3">
        <x:v>608</x:v>
      </x:c>
      <x:c r="O10" s="3">
        <x:v>634</x:v>
      </x:c>
      <x:c r="P10" s="3">
        <x:v>621</x:v>
      </x:c>
      <x:c r="Q10" s="3">
        <x:v>676</x:v>
      </x:c>
      <x:c r="R10" s="3">
        <x:v>506</x:v>
      </x:c>
      <x:c r="S10" s="3">
        <x:v>326</x:v>
      </x:c>
      <x:c r="T10" s="3">
        <x:v>0</x:v>
      </x:c>
      <x:c r="U10" s="3">
        <x:v>0</x:v>
      </x:c>
      <x:c r="V10" s="3">
        <x:v>0</x:v>
      </x:c>
      <x:c r="W10" s="3">
        <x:v>0</x:v>
      </x:c>
      <x:c r="X10" s="3">
        <x:v>0</x:v>
      </x:c>
      <x:c r="Y10" s="3">
        <x:v>0</x:v>
      </x:c>
      <x:c r="Z10" s="3">
        <x:v>0</x:v>
      </x:c>
      <x:c r="AA10" s="3">
        <x:v>5</x:v>
      </x:c>
      <x:c r="AB10" s="3">
        <x:v>6</x:v>
      </x:c>
      <x:c r="AC10" s="3">
        <x:v>27</x:v>
      </x:c>
      <x:c r="AD10" s="3">
        <x:v>49</x:v>
      </x:c>
      <x:c r="AE10" s="3">
        <x:v>90</x:v>
      </x:c>
      <x:c r="AF10" s="3">
        <x:v>138</x:v>
      </x:c>
      <x:c r="AG10" s="3">
        <x:v>153</x:v>
      </x:c>
      <x:c r="AH10" s="3">
        <x:v>172</x:v>
      </x:c>
      <x:c r="AJ10" s="3">
        <x:v>197</x:v>
      </x:c>
      <x:c r="AK10" s="3">
        <x:v>296</x:v>
      </x:c>
      <x:c r="AL10" t="n">
        <x:f>Tabelle2[[#This Row],[1 jahre Weiblich]]+Tabelle2[[#This Row],[unter 1 Jahr Männlich]]</x:f>
        <x:v>0</x:v>
      </x:c>
      <x:c r="AM10" t="n">
        <x:f>Tabelle2[[#This Row],[1-15 Jahre Weiblich]]+Tabelle2[[#This Row],[1-15 jahre Mänlich]]</x:f>
        <x:v>0</x:v>
      </x:c>
      <x:c r="AN10" t="n">
        <x:f>Tabelle2[[#This Row],[15-20 Jahre Weiblich]]+Tabelle2[[#This Row],[15-20 jahre Männlich]]</x:f>
        <x:v>0</x:v>
      </x:c>
      <x:c r="AO10" t="n">
        <x:f>Tabelle2[[#This Row],[20-25 jahre weiblich]]+Tabelle2[[#This Row],[20-25 jahre Männlich]]</x:f>
        <x:v>0</x:v>
      </x:c>
      <x:c r="AP10" t="n">
        <x:f>Tabelle2[[#This Row],[25-30 Jahre Weiblich]]+Tabelle2[[#This Row],[25-30 jahre Männlich]]</x:f>
        <x:v>1</x:v>
      </x:c>
      <x:c r="AQ10" t="n">
        <x:f>Tabelle2[[#This Row],[30-35 Jahre Weiblich]]+Tabelle2[[#This Row],[30-35 jahre Männlich]]</x:f>
        <x:v>4</x:v>
      </x:c>
      <x:c r="AR10" t="n">
        <x:f>Tabelle2[[#This Row],[35-40 Jahre Weiblich]]+Tabelle2[[#This Row],[35-40 jahre  Männlich]]</x:f>
        <x:v>17</x:v>
      </x:c>
      <x:c r="AS10" t="n">
        <x:f>Tabelle2[[#This Row],[40-45 Jahre Weiblich]]+Tabelle2[[#This Row],[40-45 jahre Männlich]]</x:f>
        <x:v>31</x:v>
      </x:c>
      <x:c r="AT10" t="n">
        <x:f>Tabelle2[[#This Row],[45-50 Jahre Weiblich]]+Tabelle2[[#This Row],[45-50 jahre Männlich]]</x:f>
        <x:v>121</x:v>
      </x:c>
      <x:c r="AU10" t="n">
        <x:f>Tabelle2[[#This Row],[50-55 Jahre Weiblich]]+Tabelle2[[#This Row],[50-55 jahre Männlich]]</x:f>
        <x:v>326</x:v>
      </x:c>
      <x:c r="AV10" t="n">
        <x:f>Tabelle2[[#This Row],[55-60 Jahre Weiblich]]+Tabelle2[[#This Row],[55-60 jahre Männlich]]</x:f>
        <x:v>584</x:v>
      </x:c>
      <x:c r="AW10" t="n">
        <x:f>Tabelle2[[#This Row],[60-65 Jahre Weiblich]]+Tabelle2[[#This Row],[60-65 jahre Männlich]]</x:f>
        <x:v>746</x:v>
      </x:c>
      <x:c r="AX10" t="n">
        <x:f>Tabelle2[[#This Row],[65-70 Jahre Weiblich]]+Tabelle2[[#This Row],[65-70 Jahre  Männlich]]</x:f>
        <x:v>787</x:v>
      </x:c>
      <x:c r="AY10" t="n">
        <x:f>Tabelle2[[#This Row],[70-75Jahre Weiblich]]+Tabelle2[[#This Row],[70-75 jahre Männlch]]</x:f>
        <x:v>793</x:v>
      </x:c>
      <x:c r="AZ10" t="e">
        <x:f>Tabelle2[[#This Row],[75-80 Jahre Weiblich]]+Tabelle2[[#This Row],[75-80 jahre Männlich]]</x:f>
      </x:c>
      <x:c r="BA10" t="n">
        <x:f>Tabelle2[[#This Row],[80-85 Jahre Weiblich]]+Tabelle2[[#This Row],[80-85 jahre Männlich]]</x:f>
        <x:v>703</x:v>
      </x:c>
      <x:c r="BB10" t="n">
        <x:f>Tabelle2[[#This Row],[85 und mehr Weiblich]]+Tabelle2[[#This Row],[85 und mehr]]</x:f>
        <x:v>622</x:v>
      </x:c>
    </x:row>
    <x:row r="11">
      <x:c r="A11" s="1" t="s">
        <x:v>54</x:v>
      </x:c>
      <x:c r="B11" s="2" t="s">
        <x:v>63</x:v>
      </x:c>
      <x:c r="C11" s="3">
        <x:v>0</x:v>
      </x:c>
      <x:c r="D11" s="3">
        <x:v>0</x:v>
      </x:c>
      <x:c r="E11" s="3">
        <x:v>1</x:v>
      </x:c>
      <x:c r="F11" s="3">
        <x:v>2</x:v>
      </x:c>
      <x:c r="G11" s="3">
        <x:v>1</x:v>
      </x:c>
      <x:c r="H11" s="3">
        <x:v>11</x:v>
      </x:c>
      <x:c r="I11" s="3">
        <x:v>23</x:v>
      </x:c>
      <x:c r="J11" s="3">
        <x:v>40</x:v>
      </x:c>
      <x:c r="K11" s="3">
        <x:v>116</x:v>
      </x:c>
      <x:c r="L11" s="3">
        <x:v>255</x:v>
      </x:c>
      <x:c r="M11" s="3">
        <x:v>376</x:v>
      </x:c>
      <x:c r="N11" s="3">
        <x:v>510</x:v>
      </x:c>
      <x:c r="O11" s="3">
        <x:v>636</x:v>
      </x:c>
      <x:c r="P11" s="3">
        <x:v>624</x:v>
      </x:c>
      <x:c r="Q11" s="3">
        <x:v>930</x:v>
      </x:c>
      <x:c r="R11" s="3">
        <x:v>903</x:v>
      </x:c>
      <x:c r="S11" s="3">
        <x:v>759</x:v>
      </x:c>
      <x:c r="T11" s="3">
        <x:v>0</x:v>
      </x:c>
      <x:c r="U11" s="3">
        <x:v>0</x:v>
      </x:c>
      <x:c r="V11" s="3">
        <x:v>0</x:v>
      </x:c>
      <x:c r="W11" s="3">
        <x:v>0</x:v>
      </x:c>
      <x:c r="X11" s="3">
        <x:v>3</x:v>
      </x:c>
      <x:c r="Y11" s="3">
        <x:v>5</x:v>
      </x:c>
      <x:c r="Z11" s="3">
        <x:v>17</x:v>
      </x:c>
      <x:c r="AA11" s="3">
        <x:v>30</x:v>
      </x:c>
      <x:c r="AB11" s="3">
        <x:v>30</x:v>
      </x:c>
      <x:c r="AC11" s="3">
        <x:v>79</x:v>
      </x:c>
      <x:c r="AD11" s="3">
        <x:v>123</x:v>
      </x:c>
      <x:c r="AE11" s="3">
        <x:v>196</x:v>
      </x:c>
      <x:c r="AF11" s="3">
        <x:v>251</x:v>
      </x:c>
      <x:c r="AG11" s="3">
        <x:v>299</x:v>
      </x:c>
      <x:c r="AH11" s="3">
        <x:v>332</x:v>
      </x:c>
      <x:c r="AJ11" s="3">
        <x:v>699</x:v>
      </x:c>
      <x:c r="AK11" s="3">
        <x:v>1016</x:v>
      </x:c>
      <x:c r="AL11" t="n">
        <x:f>Tabelle2[[#This Row],[1 jahre Weiblich]]+Tabelle2[[#This Row],[unter 1 Jahr Männlich]]</x:f>
        <x:v>0</x:v>
      </x:c>
      <x:c r="AM11" t="n">
        <x:f>Tabelle2[[#This Row],[1-15 Jahre Weiblich]]+Tabelle2[[#This Row],[1-15 jahre Mänlich]]</x:f>
        <x:v>0</x:v>
      </x:c>
      <x:c r="AN11" t="n">
        <x:f>Tabelle2[[#This Row],[15-20 Jahre Weiblich]]+Tabelle2[[#This Row],[15-20 jahre Männlich]]</x:f>
        <x:v>1</x:v>
      </x:c>
      <x:c r="AO11" t="n">
        <x:f>Tabelle2[[#This Row],[20-25 jahre weiblich]]+Tabelle2[[#This Row],[20-25 jahre Männlich]]</x:f>
        <x:v>5</x:v>
      </x:c>
      <x:c r="AP11" t="n">
        <x:f>Tabelle2[[#This Row],[25-30 Jahre Weiblich]]+Tabelle2[[#This Row],[25-30 jahre Männlich]]</x:f>
        <x:v>6</x:v>
      </x:c>
      <x:c r="AQ11" t="n">
        <x:f>Tabelle2[[#This Row],[30-35 Jahre Weiblich]]+Tabelle2[[#This Row],[30-35 jahre Männlich]]</x:f>
        <x:v>28</x:v>
      </x:c>
      <x:c r="AR11" t="n">
        <x:f>Tabelle2[[#This Row],[35-40 Jahre Weiblich]]+Tabelle2[[#This Row],[35-40 jahre  Männlich]]</x:f>
        <x:v>53</x:v>
      </x:c>
      <x:c r="AS11" t="n">
        <x:f>Tabelle2[[#This Row],[40-45 Jahre Weiblich]]+Tabelle2[[#This Row],[40-45 jahre Männlich]]</x:f>
        <x:v>70</x:v>
      </x:c>
      <x:c r="AT11" t="n">
        <x:f>Tabelle2[[#This Row],[45-50 Jahre Weiblich]]+Tabelle2[[#This Row],[45-50 jahre Männlich]]</x:f>
        <x:v>195</x:v>
      </x:c>
      <x:c r="AU11" t="n">
        <x:f>Tabelle2[[#This Row],[50-55 Jahre Weiblich]]+Tabelle2[[#This Row],[50-55 jahre Männlich]]</x:f>
        <x:v>378</x:v>
      </x:c>
      <x:c r="AV11" t="n">
        <x:f>Tabelle2[[#This Row],[55-60 Jahre Weiblich]]+Tabelle2[[#This Row],[55-60 jahre Männlich]]</x:f>
        <x:v>572</x:v>
      </x:c>
      <x:c r="AW11" t="n">
        <x:f>Tabelle2[[#This Row],[60-65 Jahre Weiblich]]+Tabelle2[[#This Row],[60-65 jahre Männlich]]</x:f>
        <x:v>761</x:v>
      </x:c>
      <x:c r="AX11" t="n">
        <x:f>Tabelle2[[#This Row],[65-70 Jahre Weiblich]]+Tabelle2[[#This Row],[65-70 Jahre  Männlich]]</x:f>
        <x:v>935</x:v>
      </x:c>
      <x:c r="AY11" t="n">
        <x:f>Tabelle2[[#This Row],[70-75Jahre Weiblich]]+Tabelle2[[#This Row],[70-75 jahre Männlch]]</x:f>
        <x:v>956</x:v>
      </x:c>
      <x:c r="AZ11" t="e">
        <x:f>Tabelle2[[#This Row],[75-80 Jahre Weiblich]]+Tabelle2[[#This Row],[75-80 jahre Männlich]]</x:f>
      </x:c>
      <x:c r="BA11" t="n">
        <x:f>Tabelle2[[#This Row],[80-85 Jahre Weiblich]]+Tabelle2[[#This Row],[80-85 jahre Männlich]]</x:f>
        <x:v>1602</x:v>
      </x:c>
      <x:c r="BB11" t="n">
        <x:f>Tabelle2[[#This Row],[85 und mehr Weiblich]]+Tabelle2[[#This Row],[85 und mehr]]</x:f>
        <x:v>1775</x:v>
      </x:c>
    </x:row>
    <x:row r="12">
      <x:c r="A12" s="1" t="s">
        <x:v>54</x:v>
      </x:c>
      <x:c r="B12" s="2" t="str">
        <x:v>Dickdarm</x:v>
      </x:c>
      <x:c r="C12" s="3">
        <x:v>0</x:v>
      </x:c>
      <x:c r="D12" s="3">
        <x:v>1</x:v>
      </x:c>
      <x:c r="E12" s="3">
        <x:v>1</x:v>
      </x:c>
      <x:c r="F12" s="3">
        <x:v>1</x:v>
      </x:c>
      <x:c r="G12" s="3">
        <x:v>5</x:v>
      </x:c>
      <x:c r="H12" s="3">
        <x:v>14</x:v>
      </x:c>
      <x:c r="I12" s="3">
        <x:v>23</x:v>
      </x:c>
      <x:c r="J12" s="3">
        <x:v>46</x:v>
      </x:c>
      <x:c r="K12" s="3">
        <x:v>93</x:v>
      </x:c>
      <x:c r="L12" s="3">
        <x:v>236</x:v>
      </x:c>
      <x:c r="M12" s="3">
        <x:v>423</x:v>
      </x:c>
      <x:c r="N12" s="3">
        <x:v>620</x:v>
      </x:c>
      <x:c r="O12" s="3">
        <x:v>860</x:v>
      </x:c>
      <x:c r="P12" s="3">
        <x:v>1034</x:v>
      </x:c>
      <x:c r="Q12" s="3">
        <x:v>1630</x:v>
      </x:c>
      <x:c r="R12" s="3">
        <x:v>1635</x:v>
      </x:c>
      <x:c r="S12" s="3">
        <x:v>1639</x:v>
      </x:c>
      <x:c r="T12" s="3">
        <x:v>0</x:v>
      </x:c>
      <x:c r="U12" s="3">
        <x:v>0</x:v>
      </x:c>
      <x:c r="V12" s="3">
        <x:v>0</x:v>
      </x:c>
      <x:c r="W12" s="3">
        <x:v>0</x:v>
      </x:c>
      <x:c r="X12" s="3">
        <x:v>2</x:v>
      </x:c>
      <x:c r="Y12" s="3">
        <x:v>2</x:v>
      </x:c>
      <x:c r="Z12" s="3">
        <x:v>12</x:v>
      </x:c>
      <x:c r="AA12" s="3">
        <x:v>16</x:v>
      </x:c>
      <x:c r="AB12" s="3">
        <x:v>47</x:v>
      </x:c>
      <x:c r="AC12" s="3">
        <x:v>94</x:v>
      </x:c>
      <x:c r="AD12" s="3">
        <x:v>166</x:v>
      </x:c>
      <x:c r="AE12" s="3">
        <x:v>316</x:v>
      </x:c>
      <x:c r="AF12" s="3">
        <x:v>371</x:v>
      </x:c>
      <x:c r="AG12" s="3">
        <x:v>567</x:v>
      </x:c>
      <x:c r="AH12" s="3">
        <x:v>647</x:v>
      </x:c>
      <x:c r="AJ12" s="3">
        <x:v>1465</x:v>
      </x:c>
      <x:c r="AK12" s="3">
        <x:v>2685</x:v>
      </x:c>
      <x:c r="AL12" t="n">
        <x:f>Tabelle2[[#This Row],[1 jahre Weiblich]]+Tabelle2[[#This Row],[unter 1 Jahr Männlich]]</x:f>
        <x:v>0</x:v>
      </x:c>
      <x:c r="AM12" t="n">
        <x:f>Tabelle2[[#This Row],[1-15 Jahre Weiblich]]+Tabelle2[[#This Row],[1-15 jahre Mänlich]]</x:f>
        <x:v>1</x:v>
      </x:c>
      <x:c r="AN12" t="n">
        <x:f>Tabelle2[[#This Row],[15-20 Jahre Weiblich]]+Tabelle2[[#This Row],[15-20 jahre Männlich]]</x:f>
        <x:v>1</x:v>
      </x:c>
      <x:c r="AO12" t="n">
        <x:f>Tabelle2[[#This Row],[20-25 jahre weiblich]]+Tabelle2[[#This Row],[20-25 jahre Männlich]]</x:f>
        <x:v>3</x:v>
      </x:c>
      <x:c r="AP12" t="n">
        <x:f>Tabelle2[[#This Row],[25-30 Jahre Weiblich]]+Tabelle2[[#This Row],[25-30 jahre Männlich]]</x:f>
        <x:v>7</x:v>
      </x:c>
      <x:c r="AQ12" t="n">
        <x:f>Tabelle2[[#This Row],[30-35 Jahre Weiblich]]+Tabelle2[[#This Row],[30-35 jahre Männlich]]</x:f>
        <x:v>26</x:v>
      </x:c>
      <x:c r="AR12" t="n">
        <x:f>Tabelle2[[#This Row],[35-40 Jahre Weiblich]]+Tabelle2[[#This Row],[35-40 jahre  Männlich]]</x:f>
        <x:v>39</x:v>
      </x:c>
      <x:c r="AS12" t="n">
        <x:f>Tabelle2[[#This Row],[40-45 Jahre Weiblich]]+Tabelle2[[#This Row],[40-45 jahre Männlich]]</x:f>
        <x:v>93</x:v>
      </x:c>
      <x:c r="AT12" t="n">
        <x:f>Tabelle2[[#This Row],[45-50 Jahre Weiblich]]+Tabelle2[[#This Row],[45-50 jahre Männlich]]</x:f>
        <x:v>187</x:v>
      </x:c>
      <x:c r="AU12" t="n">
        <x:f>Tabelle2[[#This Row],[50-55 Jahre Weiblich]]+Tabelle2[[#This Row],[50-55 jahre Männlich]]</x:f>
        <x:v>402</x:v>
      </x:c>
      <x:c r="AV12" t="n">
        <x:f>Tabelle2[[#This Row],[55-60 Jahre Weiblich]]+Tabelle2[[#This Row],[55-60 jahre Männlich]]</x:f>
        <x:v>739</x:v>
      </x:c>
      <x:c r="AW12" t="n">
        <x:f>Tabelle2[[#This Row],[60-65 Jahre Weiblich]]+Tabelle2[[#This Row],[60-65 jahre Männlich]]</x:f>
        <x:v>991</x:v>
      </x:c>
      <x:c r="AX12" t="n">
        <x:f>Tabelle2[[#This Row],[65-70 Jahre Weiblich]]+Tabelle2[[#This Row],[65-70 Jahre  Männlich]]</x:f>
        <x:v>1427</x:v>
      </x:c>
      <x:c r="AY12" t="n">
        <x:f>Tabelle2[[#This Row],[70-75Jahre Weiblich]]+Tabelle2[[#This Row],[70-75 jahre Männlch]]</x:f>
        <x:v>1681</x:v>
      </x:c>
      <x:c r="AZ12" t="e">
        <x:f>Tabelle2[[#This Row],[75-80 Jahre Weiblich]]+Tabelle2[[#This Row],[75-80 jahre Männlich]]</x:f>
      </x:c>
      <x:c r="BA12" t="n">
        <x:f>Tabelle2[[#This Row],[80-85 Jahre Weiblich]]+Tabelle2[[#This Row],[80-85 jahre Männlich]]</x:f>
        <x:v>3100</x:v>
      </x:c>
      <x:c r="BB12" t="n">
        <x:f>Tabelle2[[#This Row],[85 und mehr Weiblich]]+Tabelle2[[#This Row],[85 und mehr]]</x:f>
        <x:v>4324</x:v>
      </x:c>
    </x:row>
    <x:row r="13">
      <x:c r="A13" s="1" t="s">
        <x:v>54</x:v>
      </x:c>
      <x:c r="B13" s="2" t="s">
        <x:v>64</x:v>
      </x:c>
      <x:c r="C13" s="3">
        <x:v>0</x:v>
      </x:c>
      <x:c r="D13" s="3">
        <x:v>0</x:v>
      </x:c>
      <x:c r="E13" s="3">
        <x:v>0</x:v>
      </x:c>
      <x:c r="F13" s="3">
        <x:v>1</x:v>
      </x:c>
      <x:c r="G13" s="3">
        <x:v>4</x:v>
      </x:c>
      <x:c r="H13" s="3">
        <x:v>3</x:v>
      </x:c>
      <x:c r="I13" s="3">
        <x:v>19</x:v>
      </x:c>
      <x:c r="J13" s="3">
        <x:v>31</x:v>
      </x:c>
      <x:c r="K13" s="3">
        <x:v>85</x:v>
      </x:c>
      <x:c r="L13" s="3">
        <x:v>187</x:v>
      </x:c>
      <x:c r="M13" s="3">
        <x:v>320</x:v>
      </x:c>
      <x:c r="N13" s="3">
        <x:v>514</x:v>
      </x:c>
      <x:c r="O13" s="3">
        <x:v>669</x:v>
      </x:c>
      <x:c r="P13" s="3">
        <x:v>679</x:v>
      </x:c>
      <x:c r="Q13" s="3">
        <x:v>884</x:v>
      </x:c>
      <x:c r="R13" s="3">
        <x:v>784</x:v>
      </x:c>
      <x:c r="S13" s="3">
        <x:v>689</x:v>
      </x:c>
      <x:c r="T13" s="3">
        <x:v>0</x:v>
      </x:c>
      <x:c r="U13" s="3">
        <x:v>0</x:v>
      </x:c>
      <x:c r="V13" s="3">
        <x:v>0</x:v>
      </x:c>
      <x:c r="W13" s="3">
        <x:v>0</x:v>
      </x:c>
      <x:c r="X13" s="3">
        <x:v>0</x:v>
      </x:c>
      <x:c r="Y13" s="3">
        <x:v>1</x:v>
      </x:c>
      <x:c r="Z13" s="3">
        <x:v>8</x:v>
      </x:c>
      <x:c r="AA13" s="3">
        <x:v>13</x:v>
      </x:c>
      <x:c r="AB13" s="3">
        <x:v>26</x:v>
      </x:c>
      <x:c r="AC13" s="3">
        <x:v>62</x:v>
      </x:c>
      <x:c r="AD13" s="3">
        <x:v>116</x:v>
      </x:c>
      <x:c r="AE13" s="3">
        <x:v>189</x:v>
      </x:c>
      <x:c r="AF13" s="3">
        <x:v>254</x:v>
      </x:c>
      <x:c r="AG13" s="3">
        <x:v>278</x:v>
      </x:c>
      <x:c r="AH13" s="3">
        <x:v>321</x:v>
      </x:c>
      <x:c r="AJ13" s="3">
        <x:v>620</x:v>
      </x:c>
      <x:c r="AK13" s="3">
        <x:v>955</x:v>
      </x:c>
      <x:c r="AL13" t="n">
        <x:f>Tabelle2[[#This Row],[1 jahre Weiblich]]+Tabelle2[[#This Row],[unter 1 Jahr Männlich]]</x:f>
        <x:v>0</x:v>
      </x:c>
      <x:c r="AM13" t="n">
        <x:f>Tabelle2[[#This Row],[1-15 Jahre Weiblich]]+Tabelle2[[#This Row],[1-15 jahre Mänlich]]</x:f>
        <x:v>0</x:v>
      </x:c>
      <x:c r="AN13" t="n">
        <x:f>Tabelle2[[#This Row],[15-20 Jahre Weiblich]]+Tabelle2[[#This Row],[15-20 jahre Männlich]]</x:f>
        <x:v>0</x:v>
      </x:c>
      <x:c r="AO13" t="n">
        <x:f>Tabelle2[[#This Row],[20-25 jahre weiblich]]+Tabelle2[[#This Row],[20-25 jahre Männlich]]</x:f>
        <x:v>1</x:v>
      </x:c>
      <x:c r="AP13" t="n">
        <x:f>Tabelle2[[#This Row],[25-30 Jahre Weiblich]]+Tabelle2[[#This Row],[25-30 jahre Männlich]]</x:f>
        <x:v>5</x:v>
      </x:c>
      <x:c r="AQ13" t="n">
        <x:f>Tabelle2[[#This Row],[30-35 Jahre Weiblich]]+Tabelle2[[#This Row],[30-35 jahre Männlich]]</x:f>
        <x:v>11</x:v>
      </x:c>
      <x:c r="AR13" t="n">
        <x:f>Tabelle2[[#This Row],[35-40 Jahre Weiblich]]+Tabelle2[[#This Row],[35-40 jahre  Männlich]]</x:f>
        <x:v>32</x:v>
      </x:c>
      <x:c r="AS13" t="n">
        <x:f>Tabelle2[[#This Row],[40-45 Jahre Weiblich]]+Tabelle2[[#This Row],[40-45 jahre Männlich]]</x:f>
        <x:v>57</x:v>
      </x:c>
      <x:c r="AT13" t="n">
        <x:f>Tabelle2[[#This Row],[45-50 Jahre Weiblich]]+Tabelle2[[#This Row],[45-50 jahre Männlich]]</x:f>
        <x:v>147</x:v>
      </x:c>
      <x:c r="AU13" t="n">
        <x:f>Tabelle2[[#This Row],[50-55 Jahre Weiblich]]+Tabelle2[[#This Row],[50-55 jahre Männlich]]</x:f>
        <x:v>303</x:v>
      </x:c>
      <x:c r="AV13" t="n">
        <x:f>Tabelle2[[#This Row],[55-60 Jahre Weiblich]]+Tabelle2[[#This Row],[55-60 jahre Männlich]]</x:f>
        <x:v>509</x:v>
      </x:c>
      <x:c r="AW13" t="n">
        <x:f>Tabelle2[[#This Row],[60-65 Jahre Weiblich]]+Tabelle2[[#This Row],[60-65 jahre Männlich]]</x:f>
        <x:v>768</x:v>
      </x:c>
      <x:c r="AX13" t="n">
        <x:f>Tabelle2[[#This Row],[65-70 Jahre Weiblich]]+Tabelle2[[#This Row],[65-70 Jahre  Männlich]]</x:f>
        <x:v>947</x:v>
      </x:c>
      <x:c r="AY13" t="n">
        <x:f>Tabelle2[[#This Row],[70-75Jahre Weiblich]]+Tabelle2[[#This Row],[70-75 jahre Männlch]]</x:f>
        <x:v>1000</x:v>
      </x:c>
      <x:c r="AZ13" t="e">
        <x:f>Tabelle2[[#This Row],[75-80 Jahre Weiblich]]+Tabelle2[[#This Row],[75-80 jahre Männlich]]</x:f>
      </x:c>
      <x:c r="BA13" t="n">
        <x:f>Tabelle2[[#This Row],[80-85 Jahre Weiblich]]+Tabelle2[[#This Row],[80-85 jahre Männlich]]</x:f>
        <x:v>1404</x:v>
      </x:c>
      <x:c r="BB13" t="n">
        <x:f>Tabelle2[[#This Row],[85 und mehr Weiblich]]+Tabelle2[[#This Row],[85 und mehr]]</x:f>
        <x:v>1644</x:v>
      </x:c>
    </x:row>
    <x:row r="14">
      <x:c r="A14" s="1" t="s">
        <x:v>54</x:v>
      </x:c>
      <x:c r="B14" s="2" t="str">
        <x:v>Leber/Gallen/Pankreas</x:v>
      </x:c>
      <x:c r="C14" s="3">
        <x:v>0</x:v>
      </x:c>
      <x:c r="D14" s="3">
        <x:v>3</x:v>
      </x:c>
      <x:c r="E14" s="3">
        <x:v>2</x:v>
      </x:c>
      <x:c r="F14" s="3">
        <x:v>3</x:v>
      </x:c>
      <x:c r="G14" s="3">
        <x:v>8</x:v>
      </x:c>
      <x:c r="H14" s="3">
        <x:v>10</x:v>
      </x:c>
      <x:c r="I14" s="3">
        <x:v>26</x:v>
      </x:c>
      <x:c r="J14" s="3">
        <x:v>62</x:v>
      </x:c>
      <x:c r="K14" s="3">
        <x:v>233</x:v>
      </x:c>
      <x:c r="L14" s="3">
        <x:v>595</x:v>
      </x:c>
      <x:c r="M14" s="3">
        <x:v>1075</x:v>
      </x:c>
      <x:c r="N14" s="3">
        <x:v>1660</x:v>
      </x:c>
      <x:c r="O14" s="3">
        <x:v>2229</x:v>
      </x:c>
      <x:c r="P14" s="3">
        <x:v>2306</x:v>
      </x:c>
      <x:c r="Q14" s="3">
        <x:v>3383</x:v>
      </x:c>
      <x:c r="R14" s="3">
        <x:v>2721</x:v>
      </x:c>
      <x:c r="S14" s="3">
        <x:v>1880</x:v>
      </x:c>
      <x:c r="T14" s="3">
        <x:v>0</x:v>
      </x:c>
      <x:c r="U14" s="3">
        <x:v>1</x:v>
      </x:c>
      <x:c r="V14" s="3">
        <x:v>1</x:v>
      </x:c>
      <x:c r="W14" s="3">
        <x:v>4</x:v>
      </x:c>
      <x:c r="X14" s="3">
        <x:v>1</x:v>
      </x:c>
      <x:c r="Y14" s="3">
        <x:v>4</x:v>
      </x:c>
      <x:c r="Z14" s="3">
        <x:v>12</x:v>
      </x:c>
      <x:c r="AA14" s="3">
        <x:v>20</x:v>
      </x:c>
      <x:c r="AB14" s="3">
        <x:v>50</x:v>
      </x:c>
      <x:c r="AC14" s="3">
        <x:v>119</x:v>
      </x:c>
      <x:c r="AD14" s="3">
        <x:v>362</x:v>
      </x:c>
      <x:c r="AE14" s="3">
        <x:v>623</x:v>
      </x:c>
      <x:c r="AF14" s="3">
        <x:v>985</x:v>
      </x:c>
      <x:c r="AG14" s="3">
        <x:v>1378</x:v>
      </x:c>
      <x:c r="AH14" s="3">
        <x:v>1677</x:v>
      </x:c>
      <x:c r="AJ14" s="3">
        <x:v>2919</x:v>
      </x:c>
      <x:c r="AK14" s="3">
        <x:v>2962</x:v>
      </x:c>
      <x:c r="AL14" t="n">
        <x:f>Tabelle2[[#This Row],[1 jahre Weiblich]]+Tabelle2[[#This Row],[unter 1 Jahr Männlich]]</x:f>
        <x:v>1</x:v>
      </x:c>
      <x:c r="AM14" t="n">
        <x:f>Tabelle2[[#This Row],[1-15 Jahre Weiblich]]+Tabelle2[[#This Row],[1-15 jahre Mänlich]]</x:f>
        <x:v>4</x:v>
      </x:c>
      <x:c r="AN14" t="n">
        <x:f>Tabelle2[[#This Row],[15-20 Jahre Weiblich]]+Tabelle2[[#This Row],[15-20 jahre Männlich]]</x:f>
        <x:v>6</x:v>
      </x:c>
      <x:c r="AO14" t="n">
        <x:f>Tabelle2[[#This Row],[20-25 jahre weiblich]]+Tabelle2[[#This Row],[20-25 jahre Männlich]]</x:f>
        <x:v>4</x:v>
      </x:c>
      <x:c r="AP14" t="n">
        <x:f>Tabelle2[[#This Row],[25-30 Jahre Weiblich]]+Tabelle2[[#This Row],[25-30 jahre Männlich]]</x:f>
        <x:v>12</x:v>
      </x:c>
      <x:c r="AQ14" t="n">
        <x:f>Tabelle2[[#This Row],[30-35 Jahre Weiblich]]+Tabelle2[[#This Row],[30-35 jahre Männlich]]</x:f>
        <x:v>22</x:v>
      </x:c>
      <x:c r="AR14" t="n">
        <x:f>Tabelle2[[#This Row],[35-40 Jahre Weiblich]]+Tabelle2[[#This Row],[35-40 jahre  Männlich]]</x:f>
        <x:v>46</x:v>
      </x:c>
      <x:c r="AS14" t="n">
        <x:f>Tabelle2[[#This Row],[40-45 Jahre Weiblich]]+Tabelle2[[#This Row],[40-45 jahre Männlich]]</x:f>
        <x:v>112</x:v>
      </x:c>
      <x:c r="AT14" t="n">
        <x:f>Tabelle2[[#This Row],[45-50 Jahre Weiblich]]+Tabelle2[[#This Row],[45-50 jahre Männlich]]</x:f>
        <x:v>352</x:v>
      </x:c>
      <x:c r="AU14" t="n">
        <x:f>Tabelle2[[#This Row],[50-55 Jahre Weiblich]]+Tabelle2[[#This Row],[50-55 jahre Männlich]]</x:f>
        <x:v>957</x:v>
      </x:c>
      <x:c r="AV14" t="n">
        <x:f>Tabelle2[[#This Row],[55-60 Jahre Weiblich]]+Tabelle2[[#This Row],[55-60 jahre Männlich]]</x:f>
        <x:v>1698</x:v>
      </x:c>
      <x:c r="AW14" t="n">
        <x:f>Tabelle2[[#This Row],[60-65 Jahre Weiblich]]+Tabelle2[[#This Row],[60-65 jahre Männlich]]</x:f>
        <x:v>2645</x:v>
      </x:c>
      <x:c r="AX14" t="n">
        <x:f>Tabelle2[[#This Row],[65-70 Jahre Weiblich]]+Tabelle2[[#This Row],[65-70 Jahre  Männlich]]</x:f>
        <x:v>3607</x:v>
      </x:c>
      <x:c r="AY14" t="n">
        <x:f>Tabelle2[[#This Row],[70-75Jahre Weiblich]]+Tabelle2[[#This Row],[70-75 jahre Männlch]]</x:f>
        <x:v>3983</x:v>
      </x:c>
      <x:c r="AZ14" t="e">
        <x:f>Tabelle2[[#This Row],[75-80 Jahre Weiblich]]+Tabelle2[[#This Row],[75-80 jahre Männlich]]</x:f>
      </x:c>
      <x:c r="BA14" t="n">
        <x:f>Tabelle2[[#This Row],[80-85 Jahre Weiblich]]+Tabelle2[[#This Row],[80-85 jahre Männlich]]</x:f>
        <x:v>5640</x:v>
      </x:c>
      <x:c r="BB14" t="n">
        <x:f>Tabelle2[[#This Row],[85 und mehr Weiblich]]+Tabelle2[[#This Row],[85 und mehr]]</x:f>
        <x:v>4842</x:v>
      </x:c>
    </x:row>
    <x:row r="15">
      <x:c r="A15" s="1" t="s">
        <x:v>54</x:v>
      </x:c>
      <x:c r="B15" s="2" t="s">
        <x:v>65</x:v>
      </x:c>
      <x:c r="C15" s="3">
        <x:v>0</x:v>
      </x:c>
      <x:c r="D15" s="3">
        <x:v>3</x:v>
      </x:c>
      <x:c r="E15" s="3">
        <x:v>1</x:v>
      </x:c>
      <x:c r="F15" s="3">
        <x:v>3</x:v>
      </x:c>
      <x:c r="G15" s="3">
        <x:v>5</x:v>
      </x:c>
      <x:c r="H15" s="3">
        <x:v>7</x:v>
      </x:c>
      <x:c r="I15" s="3">
        <x:v>11</x:v>
      </x:c>
      <x:c r="J15" s="3">
        <x:v>11</x:v>
      </x:c>
      <x:c r="K15" s="3">
        <x:v>62</x:v>
      </x:c>
      <x:c r="L15" s="3">
        <x:v>173</x:v>
      </x:c>
      <x:c r="M15" s="3">
        <x:v>321</x:v>
      </x:c>
      <x:c r="N15" s="3">
        <x:v>558</x:v>
      </x:c>
      <x:c r="O15" s="3">
        <x:v>769</x:v>
      </x:c>
      <x:c r="P15" s="3">
        <x:v>810</x:v>
      </x:c>
      <x:c r="Q15" s="3">
        <x:v>1150</x:v>
      </x:c>
      <x:c r="R15" s="3">
        <x:v>883</x:v>
      </x:c>
      <x:c r="S15" s="3">
        <x:v>534</x:v>
      </x:c>
      <x:c r="T15" s="3">
        <x:v>0</x:v>
      </x:c>
      <x:c r="U15" s="3">
        <x:v>1</x:v>
      </x:c>
      <x:c r="V15" s="3">
        <x:v>1</x:v>
      </x:c>
      <x:c r="W15" s="3">
        <x:v>3</x:v>
      </x:c>
      <x:c r="X15" s="3">
        <x:v>1</x:v>
      </x:c>
      <x:c r="Y15" s="3">
        <x:v>4</x:v>
      </x:c>
      <x:c r="Z15" s="3">
        <x:v>7</x:v>
      </x:c>
      <x:c r="AA15" s="3">
        <x:v>8</x:v>
      </x:c>
      <x:c r="AB15" s="3">
        <x:v>15</x:v>
      </x:c>
      <x:c r="AC15" s="3">
        <x:v>26</x:v>
      </x:c>
      <x:c r="AD15" s="3">
        <x:v>85</x:v>
      </x:c>
      <x:c r="AE15" s="3">
        <x:v>126</x:v>
      </x:c>
      <x:c r="AF15" s="3">
        <x:v>187</x:v>
      </x:c>
      <x:c r="AG15" s="3">
        <x:v>298</x:v>
      </x:c>
      <x:c r="AH15" s="3">
        <x:v>351</x:v>
      </x:c>
      <x:c r="AJ15" s="3">
        <x:v>532</x:v>
      </x:c>
      <x:c r="AK15" s="3">
        <x:v>548</x:v>
      </x:c>
      <x:c r="AL15" t="n">
        <x:f>Tabelle2[[#This Row],[1 jahre Weiblich]]+Tabelle2[[#This Row],[unter 1 Jahr Männlich]]</x:f>
        <x:v>1</x:v>
      </x:c>
      <x:c r="AM15" t="n">
        <x:f>Tabelle2[[#This Row],[1-15 Jahre Weiblich]]+Tabelle2[[#This Row],[1-15 jahre Mänlich]]</x:f>
        <x:v>4</x:v>
      </x:c>
      <x:c r="AN15" t="n">
        <x:f>Tabelle2[[#This Row],[15-20 Jahre Weiblich]]+Tabelle2[[#This Row],[15-20 jahre Männlich]]</x:f>
        <x:v>4</x:v>
      </x:c>
      <x:c r="AO15" t="n">
        <x:f>Tabelle2[[#This Row],[20-25 jahre weiblich]]+Tabelle2[[#This Row],[20-25 jahre Männlich]]</x:f>
        <x:v>4</x:v>
      </x:c>
      <x:c r="AP15" t="n">
        <x:f>Tabelle2[[#This Row],[25-30 Jahre Weiblich]]+Tabelle2[[#This Row],[25-30 jahre Männlich]]</x:f>
        <x:v>9</x:v>
      </x:c>
      <x:c r="AQ15" t="n">
        <x:f>Tabelle2[[#This Row],[30-35 Jahre Weiblich]]+Tabelle2[[#This Row],[30-35 jahre Männlich]]</x:f>
        <x:v>14</x:v>
      </x:c>
      <x:c r="AR15" t="n">
        <x:f>Tabelle2[[#This Row],[35-40 Jahre Weiblich]]+Tabelle2[[#This Row],[35-40 jahre  Männlich]]</x:f>
        <x:v>19</x:v>
      </x:c>
      <x:c r="AS15" t="n">
        <x:f>Tabelle2[[#This Row],[40-45 Jahre Weiblich]]+Tabelle2[[#This Row],[40-45 jahre Männlich]]</x:f>
        <x:v>26</x:v>
      </x:c>
      <x:c r="AT15" t="n">
        <x:f>Tabelle2[[#This Row],[45-50 Jahre Weiblich]]+Tabelle2[[#This Row],[45-50 jahre Männlich]]</x:f>
        <x:v>88</x:v>
      </x:c>
      <x:c r="AU15" t="n">
        <x:f>Tabelle2[[#This Row],[50-55 Jahre Weiblich]]+Tabelle2[[#This Row],[50-55 jahre Männlich]]</x:f>
        <x:v>258</x:v>
      </x:c>
      <x:c r="AV15" t="n">
        <x:f>Tabelle2[[#This Row],[55-60 Jahre Weiblich]]+Tabelle2[[#This Row],[55-60 jahre Männlich]]</x:f>
        <x:v>447</x:v>
      </x:c>
      <x:c r="AW15" t="n">
        <x:f>Tabelle2[[#This Row],[60-65 Jahre Weiblich]]+Tabelle2[[#This Row],[60-65 jahre Männlich]]</x:f>
        <x:v>745</x:v>
      </x:c>
      <x:c r="AX15" t="n">
        <x:f>Tabelle2[[#This Row],[65-70 Jahre Weiblich]]+Tabelle2[[#This Row],[65-70 Jahre  Männlich]]</x:f>
        <x:v>1067</x:v>
      </x:c>
      <x:c r="AY15" t="n">
        <x:f>Tabelle2[[#This Row],[70-75Jahre Weiblich]]+Tabelle2[[#This Row],[70-75 jahre Männlch]]</x:f>
        <x:v>1161</x:v>
      </x:c>
      <x:c r="AZ15" t="e">
        <x:f>Tabelle2[[#This Row],[75-80 Jahre Weiblich]]+Tabelle2[[#This Row],[75-80 jahre Männlich]]</x:f>
      </x:c>
      <x:c r="BA15" t="n">
        <x:f>Tabelle2[[#This Row],[80-85 Jahre Weiblich]]+Tabelle2[[#This Row],[80-85 jahre Männlich]]</x:f>
        <x:v>1415</x:v>
      </x:c>
      <x:c r="BB15" t="n">
        <x:f>Tabelle2[[#This Row],[85 und mehr Weiblich]]+Tabelle2[[#This Row],[85 und mehr]]</x:f>
        <x:v>1082</x:v>
      </x:c>
    </x:row>
    <x:row r="16">
      <x:c r="A16" s="1" t="s">
        <x:v>54</x:v>
      </x:c>
      <x:c r="B16" s="2" t="str">
        <x:v>Pankreas</x:v>
      </x:c>
      <x:c r="C16" s="3">
        <x:v>0</x:v>
      </x:c>
      <x:c r="D16" s="3">
        <x:v>0</x:v>
      </x:c>
      <x:c r="E16" s="3">
        <x:v>1</x:v>
      </x:c>
      <x:c r="F16" s="3">
        <x:v>0</x:v>
      </x:c>
      <x:c r="G16" s="3">
        <x:v>3</x:v>
      </x:c>
      <x:c r="H16" s="3">
        <x:v>2</x:v>
      </x:c>
      <x:c r="I16" s="3">
        <x:v>15</x:v>
      </x:c>
      <x:c r="J16" s="3">
        <x:v>44</x:v>
      </x:c>
      <x:c r="K16" s="3">
        <x:v>148</x:v>
      </x:c>
      <x:c r="L16" s="3">
        <x:v>371</x:v>
      </x:c>
      <x:c r="M16" s="3">
        <x:v>676</x:v>
      </x:c>
      <x:c r="N16" s="3">
        <x:v>973</x:v>
      </x:c>
      <x:c r="O16" s="3">
        <x:v>1235</x:v>
      </x:c>
      <x:c r="P16" s="3">
        <x:v>1291</x:v>
      </x:c>
      <x:c r="Q16" s="3">
        <x:v>1863</x:v>
      </x:c>
      <x:c r="R16" s="3">
        <x:v>1503</x:v>
      </x:c>
      <x:c r="S16" s="3">
        <x:v>1064</x:v>
      </x:c>
      <x:c r="T16" s="3">
        <x:v>0</x:v>
      </x:c>
      <x:c r="U16" s="3">
        <x:v>0</x:v>
      </x:c>
      <x:c r="V16" s="3">
        <x:v>0</x:v>
      </x:c>
      <x:c r="W16" s="3">
        <x:v>1</x:v>
      </x:c>
      <x:c r="X16" s="3">
        <x:v>0</x:v>
      </x:c>
      <x:c r="Y16" s="3">
        <x:v>0</x:v>
      </x:c>
      <x:c r="Z16" s="3">
        <x:v>2</x:v>
      </x:c>
      <x:c r="AA16" s="3">
        <x:v>12</x:v>
      </x:c>
      <x:c r="AB16" s="3">
        <x:v>32</x:v>
      </x:c>
      <x:c r="AC16" s="3">
        <x:v>80</x:v>
      </x:c>
      <x:c r="AD16" s="3">
        <x:v>234</x:v>
      </x:c>
      <x:c r="AE16" s="3">
        <x:v>423</x:v>
      </x:c>
      <x:c r="AF16" s="3">
        <x:v>657</x:v>
      </x:c>
      <x:c r="AG16" s="3">
        <x:v>905</x:v>
      </x:c>
      <x:c r="AH16" s="3">
        <x:v>1107</x:v>
      </x:c>
      <x:c r="AJ16" s="3">
        <x:v>1921</x:v>
      </x:c>
      <x:c r="AK16" s="3">
        <x:v>1914</x:v>
      </x:c>
      <x:c r="AL16" t="n">
        <x:f>Tabelle2[[#This Row],[1 jahre Weiblich]]+Tabelle2[[#This Row],[unter 1 Jahr Männlich]]</x:f>
        <x:v>0</x:v>
      </x:c>
      <x:c r="AM16" t="n">
        <x:f>Tabelle2[[#This Row],[1-15 Jahre Weiblich]]+Tabelle2[[#This Row],[1-15 jahre Mänlich]]</x:f>
        <x:v>0</x:v>
      </x:c>
      <x:c r="AN16" t="n">
        <x:f>Tabelle2[[#This Row],[15-20 Jahre Weiblich]]+Tabelle2[[#This Row],[15-20 jahre Männlich]]</x:f>
        <x:v>2</x:v>
      </x:c>
      <x:c r="AO16" t="n">
        <x:f>Tabelle2[[#This Row],[20-25 jahre weiblich]]+Tabelle2[[#This Row],[20-25 jahre Männlich]]</x:f>
        <x:v>0</x:v>
      </x:c>
      <x:c r="AP16" t="n">
        <x:f>Tabelle2[[#This Row],[25-30 Jahre Weiblich]]+Tabelle2[[#This Row],[25-30 jahre Männlich]]</x:f>
        <x:v>3</x:v>
      </x:c>
      <x:c r="AQ16" t="n">
        <x:f>Tabelle2[[#This Row],[30-35 Jahre Weiblich]]+Tabelle2[[#This Row],[30-35 jahre Männlich]]</x:f>
        <x:v>4</x:v>
      </x:c>
      <x:c r="AR16" t="n">
        <x:f>Tabelle2[[#This Row],[35-40 Jahre Weiblich]]+Tabelle2[[#This Row],[35-40 jahre  Männlich]]</x:f>
        <x:v>27</x:v>
      </x:c>
      <x:c r="AS16" t="n">
        <x:f>Tabelle2[[#This Row],[40-45 Jahre Weiblich]]+Tabelle2[[#This Row],[40-45 jahre Männlich]]</x:f>
        <x:v>76</x:v>
      </x:c>
      <x:c r="AT16" t="n">
        <x:f>Tabelle2[[#This Row],[45-50 Jahre Weiblich]]+Tabelle2[[#This Row],[45-50 jahre Männlich]]</x:f>
        <x:v>228</x:v>
      </x:c>
      <x:c r="AU16" t="n">
        <x:f>Tabelle2[[#This Row],[50-55 Jahre Weiblich]]+Tabelle2[[#This Row],[50-55 jahre Männlich]]</x:f>
        <x:v>605</x:v>
      </x:c>
      <x:c r="AV16" t="n">
        <x:f>Tabelle2[[#This Row],[55-60 Jahre Weiblich]]+Tabelle2[[#This Row],[55-60 jahre Männlich]]</x:f>
        <x:v>1099</x:v>
      </x:c>
      <x:c r="AW16" t="n">
        <x:f>Tabelle2[[#This Row],[60-65 Jahre Weiblich]]+Tabelle2[[#This Row],[60-65 jahre Männlich]]</x:f>
        <x:v>1630</x:v>
      </x:c>
      <x:c r="AX16" t="n">
        <x:f>Tabelle2[[#This Row],[65-70 Jahre Weiblich]]+Tabelle2[[#This Row],[65-70 Jahre  Männlich]]</x:f>
        <x:v>2140</x:v>
      </x:c>
      <x:c r="AY16" t="n">
        <x:f>Tabelle2[[#This Row],[70-75Jahre Weiblich]]+Tabelle2[[#This Row],[70-75 jahre Männlch]]</x:f>
        <x:v>2398</x:v>
      </x:c>
      <x:c r="AZ16" t="e">
        <x:f>Tabelle2[[#This Row],[75-80 Jahre Weiblich]]+Tabelle2[[#This Row],[75-80 jahre Männlich]]</x:f>
      </x:c>
      <x:c r="BA16" t="n">
        <x:f>Tabelle2[[#This Row],[80-85 Jahre Weiblich]]+Tabelle2[[#This Row],[80-85 jahre Männlich]]</x:f>
        <x:v>3424</x:v>
      </x:c>
      <x:c r="BB16" t="n">
        <x:f>Tabelle2[[#This Row],[85 und mehr Weiblich]]+Tabelle2[[#This Row],[85 und mehr]]</x:f>
        <x:v>2978</x:v>
      </x:c>
    </x:row>
    <x:row r="17">
      <x:c r="A17" s="1" t="s">
        <x:v>54</x:v>
      </x:c>
      <x:c r="B17" s="2" t="str">
        <x:v>Lunge/Bronchien</x:v>
      </x:c>
      <x:c r="C17" s="3">
        <x:v>0</x:v>
      </x:c>
      <x:c r="D17" s="3">
        <x:v>0</x:v>
      </x:c>
      <x:c r="E17" s="3">
        <x:v>0</x:v>
      </x:c>
      <x:c r="F17" s="3">
        <x:v>1</x:v>
      </x:c>
      <x:c r="G17" s="3">
        <x:v>4</x:v>
      </x:c>
      <x:c r="H17" s="3">
        <x:v>13</x:v>
      </x:c>
      <x:c r="I17" s="3">
        <x:v>38</x:v>
      </x:c>
      <x:c r="J17" s="3">
        <x:v>103</x:v>
      </x:c>
      <x:c r="K17" s="3">
        <x:v>361</x:v>
      </x:c>
      <x:c r="L17" s="3">
        <x:v>1147</x:v>
      </x:c>
      <x:c r="M17" s="3">
        <x:v>2457</x:v>
      </x:c>
      <x:c r="N17" s="3">
        <x:v>3777</x:v>
      </x:c>
      <x:c r="O17" s="3">
        <x:v>4784</x:v>
      </x:c>
      <x:c r="P17" s="3">
        <x:v>4449</x:v>
      </x:c>
      <x:c r="Q17" s="3">
        <x:v>5635</x:v>
      </x:c>
      <x:c r="R17" s="3">
        <x:v>4197</x:v>
      </x:c>
      <x:c r="S17" s="3">
        <x:v>2600</x:v>
      </x:c>
      <x:c r="T17" s="3">
        <x:v>0</x:v>
      </x:c>
      <x:c r="U17" s="3">
        <x:v>1</x:v>
      </x:c>
      <x:c r="V17" s="3">
        <x:v>0</x:v>
      </x:c>
      <x:c r="W17" s="3">
        <x:v>0</x:v>
      </x:c>
      <x:c r="X17" s="3">
        <x:v>1</x:v>
      </x:c>
      <x:c r="Y17" s="3">
        <x:v>3</x:v>
      </x:c>
      <x:c r="Z17" s="3">
        <x:v>6</x:v>
      </x:c>
      <x:c r="AA17" s="3">
        <x:v>28</x:v>
      </x:c>
      <x:c r="AB17" s="3">
        <x:v>74</x:v>
      </x:c>
      <x:c r="AC17" s="3">
        <x:v>270</x:v>
      </x:c>
      <x:c r="AD17" s="3">
        <x:v>723</x:v>
      </x:c>
      <x:c r="AE17" s="3">
        <x:v>1516</x:v>
      </x:c>
      <x:c r="AF17" s="3">
        <x:v>2251</x:v>
      </x:c>
      <x:c r="AG17" s="3">
        <x:v>2666</x:v>
      </x:c>
      <x:c r="AH17" s="3">
        <x:v>2471</x:v>
      </x:c>
      <x:c r="AJ17" s="3">
        <x:v>2005</x:v>
      </x:c>
      <x:c r="AK17" s="3">
        <x:v>1884</x:v>
      </x:c>
      <x:c r="AL17" t="n">
        <x:f>Tabelle2[[#This Row],[1 jahre Weiblich]]+Tabelle2[[#This Row],[unter 1 Jahr Männlich]]</x:f>
        <x:v>1</x:v>
      </x:c>
      <x:c r="AM17" t="n">
        <x:f>Tabelle2[[#This Row],[1-15 Jahre Weiblich]]+Tabelle2[[#This Row],[1-15 jahre Mänlich]]</x:f>
        <x:v>0</x:v>
      </x:c>
      <x:c r="AN17" t="n">
        <x:f>Tabelle2[[#This Row],[15-20 Jahre Weiblich]]+Tabelle2[[#This Row],[15-20 jahre Männlich]]</x:f>
        <x:v>0</x:v>
      </x:c>
      <x:c r="AO17" t="n">
        <x:f>Tabelle2[[#This Row],[20-25 jahre weiblich]]+Tabelle2[[#This Row],[20-25 jahre Männlich]]</x:f>
        <x:v>2</x:v>
      </x:c>
      <x:c r="AP17" t="n">
        <x:f>Tabelle2[[#This Row],[25-30 Jahre Weiblich]]+Tabelle2[[#This Row],[25-30 jahre Männlich]]</x:f>
        <x:v>7</x:v>
      </x:c>
      <x:c r="AQ17" t="n">
        <x:f>Tabelle2[[#This Row],[30-35 Jahre Weiblich]]+Tabelle2[[#This Row],[30-35 jahre Männlich]]</x:f>
        <x:v>19</x:v>
      </x:c>
      <x:c r="AR17" t="n">
        <x:f>Tabelle2[[#This Row],[35-40 Jahre Weiblich]]+Tabelle2[[#This Row],[35-40 jahre  Männlich]]</x:f>
        <x:v>66</x:v>
      </x:c>
      <x:c r="AS17" t="n">
        <x:f>Tabelle2[[#This Row],[40-45 Jahre Weiblich]]+Tabelle2[[#This Row],[40-45 jahre Männlich]]</x:f>
        <x:v>177</x:v>
      </x:c>
      <x:c r="AT17" t="n">
        <x:f>Tabelle2[[#This Row],[45-50 Jahre Weiblich]]+Tabelle2[[#This Row],[45-50 jahre Männlich]]</x:f>
        <x:v>631</x:v>
      </x:c>
      <x:c r="AU17" t="n">
        <x:f>Tabelle2[[#This Row],[50-55 Jahre Weiblich]]+Tabelle2[[#This Row],[50-55 jahre Männlich]]</x:f>
        <x:v>1870</x:v>
      </x:c>
      <x:c r="AV17" t="n">
        <x:f>Tabelle2[[#This Row],[55-60 Jahre Weiblich]]+Tabelle2[[#This Row],[55-60 jahre Männlich]]</x:f>
        <x:v>3973</x:v>
      </x:c>
      <x:c r="AW17" t="n">
        <x:f>Tabelle2[[#This Row],[60-65 Jahre Weiblich]]+Tabelle2[[#This Row],[60-65 jahre Männlich]]</x:f>
        <x:v>6028</x:v>
      </x:c>
      <x:c r="AX17" t="n">
        <x:f>Tabelle2[[#This Row],[65-70 Jahre Weiblich]]+Tabelle2[[#This Row],[65-70 Jahre  Männlich]]</x:f>
        <x:v>7450</x:v>
      </x:c>
      <x:c r="AY17" t="n">
        <x:f>Tabelle2[[#This Row],[70-75Jahre Weiblich]]+Tabelle2[[#This Row],[70-75 jahre Männlch]]</x:f>
        <x:v>6920</x:v>
      </x:c>
      <x:c r="AZ17" t="e">
        <x:f>Tabelle2[[#This Row],[75-80 Jahre Weiblich]]+Tabelle2[[#This Row],[75-80 jahre Männlich]]</x:f>
      </x:c>
      <x:c r="BA17" t="n">
        <x:f>Tabelle2[[#This Row],[80-85 Jahre Weiblich]]+Tabelle2[[#This Row],[80-85 jahre Männlich]]</x:f>
        <x:v>6202</x:v>
      </x:c>
      <x:c r="BB17" t="n">
        <x:f>Tabelle2[[#This Row],[85 und mehr Weiblich]]+Tabelle2[[#This Row],[85 und mehr]]</x:f>
        <x:v>4484</x:v>
      </x:c>
    </x:row>
    <x:row r="18">
      <x:c r="A18" s="1" t="s">
        <x:v>54</x:v>
      </x:c>
      <x:c r="B18" s="2" t="s">
        <x:v>66</x:v>
      </x:c>
      <x:c r="C18" s="3">
        <x:v>0</x:v>
      </x:c>
      <x:c r="D18" s="3">
        <x:v>0</x:v>
      </x:c>
      <x:c r="E18" s="3">
        <x:v>0</x:v>
      </x:c>
      <x:c r="F18" s="3">
        <x:v>1</x:v>
      </x:c>
      <x:c r="G18" s="3">
        <x:v>3</x:v>
      </x:c>
      <x:c r="H18" s="3">
        <x:v>12</x:v>
      </x:c>
      <x:c r="I18" s="3">
        <x:v>35</x:v>
      </x:c>
      <x:c r="J18" s="3">
        <x:v>99</x:v>
      </x:c>
      <x:c r="K18" s="3">
        <x:v>350</x:v>
      </x:c>
      <x:c r="L18" s="3">
        <x:v>1093</x:v>
      </x:c>
      <x:c r="M18" s="3">
        <x:v>2348</x:v>
      </x:c>
      <x:c r="N18" s="3">
        <x:v>3617</x:v>
      </x:c>
      <x:c r="O18" s="3">
        <x:v>4601</x:v>
      </x:c>
      <x:c r="P18" s="3">
        <x:v>4279</x:v>
      </x:c>
      <x:c r="Q18" s="3">
        <x:v>5407</x:v>
      </x:c>
      <x:c r="R18" s="3">
        <x:v>4029</x:v>
      </x:c>
      <x:c r="S18" s="3">
        <x:v>2476</x:v>
      </x:c>
      <x:c r="T18" s="3">
        <x:v>0</x:v>
      </x:c>
      <x:c r="U18" s="3">
        <x:v>1</x:v>
      </x:c>
      <x:c r="V18" s="3">
        <x:v>0</x:v>
      </x:c>
      <x:c r="W18" s="3">
        <x:v>0</x:v>
      </x:c>
      <x:c r="X18" s="3">
        <x:v>1</x:v>
      </x:c>
      <x:c r="Y18" s="3">
        <x:v>3</x:v>
      </x:c>
      <x:c r="Z18" s="3">
        <x:v>6</x:v>
      </x:c>
      <x:c r="AA18" s="3">
        <x:v>28</x:v>
      </x:c>
      <x:c r="AB18" s="3">
        <x:v>74</x:v>
      </x:c>
      <x:c r="AC18" s="3">
        <x:v>270</x:v>
      </x:c>
      <x:c r="AD18" s="3">
        <x:v>712</x:v>
      </x:c>
      <x:c r="AE18" s="3">
        <x:v>1504</x:v>
      </x:c>
      <x:c r="AF18" s="3">
        <x:v>2225</x:v>
      </x:c>
      <x:c r="AG18" s="3">
        <x:v>2625</x:v>
      </x:c>
      <x:c r="AH18" s="3">
        <x:v>2442</x:v>
      </x:c>
      <x:c r="AJ18" s="3">
        <x:v>1978</x:v>
      </x:c>
      <x:c r="AK18" s="3">
        <x:v>1845</x:v>
      </x:c>
      <x:c r="AL18" t="n">
        <x:f>Tabelle2[[#This Row],[1 jahre Weiblich]]+Tabelle2[[#This Row],[unter 1 Jahr Männlich]]</x:f>
        <x:v>1</x:v>
      </x:c>
      <x:c r="AM18" t="n">
        <x:f>Tabelle2[[#This Row],[1-15 Jahre Weiblich]]+Tabelle2[[#This Row],[1-15 jahre Mänlich]]</x:f>
        <x:v>0</x:v>
      </x:c>
      <x:c r="AN18" t="n">
        <x:f>Tabelle2[[#This Row],[15-20 Jahre Weiblich]]+Tabelle2[[#This Row],[15-20 jahre Männlich]]</x:f>
        <x:v>0</x:v>
      </x:c>
      <x:c r="AO18" t="n">
        <x:f>Tabelle2[[#This Row],[20-25 jahre weiblich]]+Tabelle2[[#This Row],[20-25 jahre Männlich]]</x:f>
        <x:v>2</x:v>
      </x:c>
      <x:c r="AP18" t="n">
        <x:f>Tabelle2[[#This Row],[25-30 Jahre Weiblich]]+Tabelle2[[#This Row],[25-30 jahre Männlich]]</x:f>
        <x:v>6</x:v>
      </x:c>
      <x:c r="AQ18" t="n">
        <x:f>Tabelle2[[#This Row],[30-35 Jahre Weiblich]]+Tabelle2[[#This Row],[30-35 jahre Männlich]]</x:f>
        <x:v>18</x:v>
      </x:c>
      <x:c r="AR18" t="n">
        <x:f>Tabelle2[[#This Row],[35-40 Jahre Weiblich]]+Tabelle2[[#This Row],[35-40 jahre  Männlich]]</x:f>
        <x:v>63</x:v>
      </x:c>
      <x:c r="AS18" t="n">
        <x:f>Tabelle2[[#This Row],[40-45 Jahre Weiblich]]+Tabelle2[[#This Row],[40-45 jahre Männlich]]</x:f>
        <x:v>173</x:v>
      </x:c>
      <x:c r="AT18" t="n">
        <x:f>Tabelle2[[#This Row],[45-50 Jahre Weiblich]]+Tabelle2[[#This Row],[45-50 jahre Männlich]]</x:f>
        <x:v>620</x:v>
      </x:c>
      <x:c r="AU18" t="n">
        <x:f>Tabelle2[[#This Row],[50-55 Jahre Weiblich]]+Tabelle2[[#This Row],[50-55 jahre Männlich]]</x:f>
        <x:v>1805</x:v>
      </x:c>
      <x:c r="AV18" t="n">
        <x:f>Tabelle2[[#This Row],[55-60 Jahre Weiblich]]+Tabelle2[[#This Row],[55-60 jahre Männlich]]</x:f>
        <x:v>3852</x:v>
      </x:c>
      <x:c r="AW18" t="n">
        <x:f>Tabelle2[[#This Row],[60-65 Jahre Weiblich]]+Tabelle2[[#This Row],[60-65 jahre Männlich]]</x:f>
        <x:v>5842</x:v>
      </x:c>
      <x:c r="AX18" t="n">
        <x:f>Tabelle2[[#This Row],[65-70 Jahre Weiblich]]+Tabelle2[[#This Row],[65-70 Jahre  Männlich]]</x:f>
        <x:v>7226</x:v>
      </x:c>
      <x:c r="AY18" t="n">
        <x:f>Tabelle2[[#This Row],[70-75Jahre Weiblich]]+Tabelle2[[#This Row],[70-75 jahre Männlch]]</x:f>
        <x:v>6721</x:v>
      </x:c>
      <x:c r="AZ18" t="e">
        <x:f>Tabelle2[[#This Row],[75-80 Jahre Weiblich]]+Tabelle2[[#This Row],[75-80 jahre Männlich]]</x:f>
      </x:c>
      <x:c r="BA18" t="n">
        <x:f>Tabelle2[[#This Row],[80-85 Jahre Weiblich]]+Tabelle2[[#This Row],[80-85 jahre Männlich]]</x:f>
        <x:v>6007</x:v>
      </x:c>
      <x:c r="BB18" t="n">
        <x:f>Tabelle2[[#This Row],[85 und mehr Weiblich]]+Tabelle2[[#This Row],[85 und mehr]]</x:f>
        <x:v>4321</x:v>
      </x:c>
    </x:row>
    <x:row r="19">
      <x:c r="A19" s="1" t="s">
        <x:v>54</x:v>
      </x:c>
      <x:c r="B19" s="2" t="s">
        <x:v>67</x:v>
      </x:c>
      <x:c r="C19" s="3">
        <x:v>0</x:v>
      </x:c>
      <x:c r="D19" s="3">
        <x:v>1</x:v>
      </x:c>
      <x:c r="E19" s="3">
        <x:v>1</x:v>
      </x:c>
      <x:c r="F19" s="3">
        <x:v>4</x:v>
      </x:c>
      <x:c r="G19" s="3">
        <x:v>5</x:v>
      </x:c>
      <x:c r="H19" s="3">
        <x:v>18</x:v>
      </x:c>
      <x:c r="I19" s="3">
        <x:v>17</x:v>
      </x:c>
      <x:c r="J19" s="3">
        <x:v>25</x:v>
      </x:c>
      <x:c r="K19" s="3">
        <x:v>56</x:v>
      </x:c>
      <x:c r="L19" s="3">
        <x:v>99</x:v>
      </x:c>
      <x:c r="M19" s="3">
        <x:v>108</x:v>
      </x:c>
      <x:c r="N19" s="3">
        <x:v>161</x:v>
      </x:c>
      <x:c r="O19" s="3">
        <x:v>209</x:v>
      </x:c>
      <x:c r="P19" s="3">
        <x:v>251</x:v>
      </x:c>
      <x:c r="Q19" s="3">
        <x:v>405</x:v>
      </x:c>
      <x:c r="R19" s="3">
        <x:v>444</x:v>
      </x:c>
      <x:c r="S19" s="3">
        <x:v>498</x:v>
      </x:c>
      <x:c r="T19" s="3">
        <x:v>0</x:v>
      </x:c>
      <x:c r="U19" s="3">
        <x:v>0</x:v>
      </x:c>
      <x:c r="V19" s="3">
        <x:v>0</x:v>
      </x:c>
      <x:c r="W19" s="3">
        <x:v>1</x:v>
      </x:c>
      <x:c r="X19" s="3">
        <x:v>2</x:v>
      </x:c>
      <x:c r="Y19" s="3">
        <x:v>1</x:v>
      </x:c>
      <x:c r="Z19" s="3">
        <x:v>12</x:v>
      </x:c>
      <x:c r="AA19" s="3">
        <x:v>18</x:v>
      </x:c>
      <x:c r="AB19" s="3">
        <x:v>12</x:v>
      </x:c>
      <x:c r="AC19" s="3">
        <x:v>35</x:v>
      </x:c>
      <x:c r="AD19" s="3">
        <x:v>85</x:v>
      </x:c>
      <x:c r="AE19" s="3">
        <x:v>89</x:v>
      </x:c>
      <x:c r="AF19" s="3">
        <x:v>88</x:v>
      </x:c>
      <x:c r="AG19" s="3">
        <x:v>123</x:v>
      </x:c>
      <x:c r="AH19" s="3">
        <x:v>113</x:v>
      </x:c>
      <x:c r="AJ19" s="3">
        <x:v>268</x:v>
      </x:c>
      <x:c r="AK19" s="3">
        <x:v>548</x:v>
      </x:c>
      <x:c r="AL19" t="n">
        <x:f>Tabelle2[[#This Row],[1 jahre Weiblich]]+Tabelle2[[#This Row],[unter 1 Jahr Männlich]]</x:f>
        <x:v>0</x:v>
      </x:c>
      <x:c r="AM19" t="n">
        <x:f>Tabelle2[[#This Row],[1-15 Jahre Weiblich]]+Tabelle2[[#This Row],[1-15 jahre Mänlich]]</x:f>
        <x:v>1</x:v>
      </x:c>
      <x:c r="AN19" t="n">
        <x:f>Tabelle2[[#This Row],[15-20 Jahre Weiblich]]+Tabelle2[[#This Row],[15-20 jahre Männlich]]</x:f>
        <x:v>2</x:v>
      </x:c>
      <x:c r="AO19" t="n">
        <x:f>Tabelle2[[#This Row],[20-25 jahre weiblich]]+Tabelle2[[#This Row],[20-25 jahre Männlich]]</x:f>
        <x:v>6</x:v>
      </x:c>
      <x:c r="AP19" t="n">
        <x:f>Tabelle2[[#This Row],[25-30 Jahre Weiblich]]+Tabelle2[[#This Row],[25-30 jahre Männlich]]</x:f>
        <x:v>6</x:v>
      </x:c>
      <x:c r="AQ19" t="n">
        <x:f>Tabelle2[[#This Row],[30-35 Jahre Weiblich]]+Tabelle2[[#This Row],[30-35 jahre Männlich]]</x:f>
        <x:v>30</x:v>
      </x:c>
      <x:c r="AR19" t="n">
        <x:f>Tabelle2[[#This Row],[35-40 Jahre Weiblich]]+Tabelle2[[#This Row],[35-40 jahre  Männlich]]</x:f>
        <x:v>35</x:v>
      </x:c>
      <x:c r="AS19" t="n">
        <x:f>Tabelle2[[#This Row],[40-45 Jahre Weiblich]]+Tabelle2[[#This Row],[40-45 jahre Männlich]]</x:f>
        <x:v>37</x:v>
      </x:c>
      <x:c r="AT19" t="n">
        <x:f>Tabelle2[[#This Row],[45-50 Jahre Weiblich]]+Tabelle2[[#This Row],[45-50 jahre Männlich]]</x:f>
        <x:v>91</x:v>
      </x:c>
      <x:c r="AU19" t="n">
        <x:f>Tabelle2[[#This Row],[50-55 Jahre Weiblich]]+Tabelle2[[#This Row],[50-55 jahre Männlich]]</x:f>
        <x:v>184</x:v>
      </x:c>
      <x:c r="AV19" t="n">
        <x:f>Tabelle2[[#This Row],[55-60 Jahre Weiblich]]+Tabelle2[[#This Row],[55-60 jahre Männlich]]</x:f>
        <x:v>197</x:v>
      </x:c>
      <x:c r="AW19" t="n">
        <x:f>Tabelle2[[#This Row],[60-65 Jahre Weiblich]]+Tabelle2[[#This Row],[60-65 jahre Männlich]]</x:f>
        <x:v>249</x:v>
      </x:c>
      <x:c r="AX19" t="n">
        <x:f>Tabelle2[[#This Row],[65-70 Jahre Weiblich]]+Tabelle2[[#This Row],[65-70 Jahre  Männlich]]</x:f>
        <x:v>332</x:v>
      </x:c>
      <x:c r="AY19" t="n">
        <x:f>Tabelle2[[#This Row],[70-75Jahre Weiblich]]+Tabelle2[[#This Row],[70-75 jahre Männlch]]</x:f>
        <x:v>364</x:v>
      </x:c>
      <x:c r="AZ19" t="e">
        <x:f>Tabelle2[[#This Row],[75-80 Jahre Weiblich]]+Tabelle2[[#This Row],[75-80 jahre Männlich]]</x:f>
      </x:c>
      <x:c r="BA19" t="n">
        <x:f>Tabelle2[[#This Row],[80-85 Jahre Weiblich]]+Tabelle2[[#This Row],[80-85 jahre Männlich]]</x:f>
        <x:v>712</x:v>
      </x:c>
      <x:c r="BB19" t="n">
        <x:f>Tabelle2[[#This Row],[85 und mehr Weiblich]]+Tabelle2[[#This Row],[85 und mehr]]</x:f>
        <x:v>1046</x:v>
      </x:c>
    </x:row>
    <x:row r="20">
      <x:c r="A20" s="1" t="s">
        <x:v>54</x:v>
      </x:c>
      <x:c r="B20" s="2" t="s">
        <x:v>68</x:v>
      </x:c>
      <x:c r="C20" s="3">
        <x:v>0</x:v>
      </x:c>
      <x:c r="D20" s="3">
        <x:v>1</x:v>
      </x:c>
      <x:c r="E20" s="3">
        <x:v>1</x:v>
      </x:c>
      <x:c r="F20" s="3">
        <x:v>3</x:v>
      </x:c>
      <x:c r="G20" s="3">
        <x:v>5</x:v>
      </x:c>
      <x:c r="H20" s="3">
        <x:v>18</x:v>
      </x:c>
      <x:c r="I20" s="3">
        <x:v>16</x:v>
      </x:c>
      <x:c r="J20" s="3">
        <x:v>24</x:v>
      </x:c>
      <x:c r="K20" s="3">
        <x:v>51</x:v>
      </x:c>
      <x:c r="L20" s="3">
        <x:v>86</x:v>
      </x:c>
      <x:c r="M20" s="3">
        <x:v>105</x:v>
      </x:c>
      <x:c r="N20" s="3">
        <x:v>143</x:v>
      </x:c>
      <x:c r="O20" s="3">
        <x:v>178</x:v>
      </x:c>
      <x:c r="P20" s="3">
        <x:v>211</x:v>
      </x:c>
      <x:c r="Q20" s="3">
        <x:v>314</x:v>
      </x:c>
      <x:c r="R20" s="3">
        <x:v>316</x:v>
      </x:c>
      <x:c r="S20" s="3">
        <x:v>294</x:v>
      </x:c>
      <x:c r="T20" s="3">
        <x:v>0</x:v>
      </x:c>
      <x:c r="U20" s="3">
        <x:v>0</x:v>
      </x:c>
      <x:c r="V20" s="3">
        <x:v>0</x:v>
      </x:c>
      <x:c r="W20" s="3">
        <x:v>0</x:v>
      </x:c>
      <x:c r="X20" s="3">
        <x:v>2</x:v>
      </x:c>
      <x:c r="Y20" s="3">
        <x:v>1</x:v>
      </x:c>
      <x:c r="Z20" s="3">
        <x:v>12</x:v>
      </x:c>
      <x:c r="AA20" s="3">
        <x:v>17</x:v>
      </x:c>
      <x:c r="AB20" s="3">
        <x:v>12</x:v>
      </x:c>
      <x:c r="AC20" s="3">
        <x:v>35</x:v>
      </x:c>
      <x:c r="AD20" s="3">
        <x:v>77</x:v>
      </x:c>
      <x:c r="AE20" s="3">
        <x:v>83</x:v>
      </x:c>
      <x:c r="AF20" s="3">
        <x:v>80</x:v>
      </x:c>
      <x:c r="AG20" s="3">
        <x:v>109</x:v>
      </x:c>
      <x:c r="AH20" s="3">
        <x:v>95</x:v>
      </x:c>
      <x:c r="AJ20" s="3">
        <x:v>203</x:v>
      </x:c>
      <x:c r="AK20" s="3">
        <x:v>277</x:v>
      </x:c>
      <x:c r="AL20" t="n">
        <x:f>Tabelle2[[#This Row],[1 jahre Weiblich]]+Tabelle2[[#This Row],[unter 1 Jahr Männlich]]</x:f>
        <x:v>0</x:v>
      </x:c>
      <x:c r="AM20" t="n">
        <x:f>Tabelle2[[#This Row],[1-15 Jahre Weiblich]]+Tabelle2[[#This Row],[1-15 jahre Mänlich]]</x:f>
        <x:v>1</x:v>
      </x:c>
      <x:c r="AN20" t="n">
        <x:f>Tabelle2[[#This Row],[15-20 Jahre Weiblich]]+Tabelle2[[#This Row],[15-20 jahre Männlich]]</x:f>
        <x:v>1</x:v>
      </x:c>
      <x:c r="AO20" t="n">
        <x:f>Tabelle2[[#This Row],[20-25 jahre weiblich]]+Tabelle2[[#This Row],[20-25 jahre Männlich]]</x:f>
        <x:v>5</x:v>
      </x:c>
      <x:c r="AP20" t="n">
        <x:f>Tabelle2[[#This Row],[25-30 Jahre Weiblich]]+Tabelle2[[#This Row],[25-30 jahre Männlich]]</x:f>
        <x:v>6</x:v>
      </x:c>
      <x:c r="AQ20" t="n">
        <x:f>Tabelle2[[#This Row],[30-35 Jahre Weiblich]]+Tabelle2[[#This Row],[30-35 jahre Männlich]]</x:f>
        <x:v>30</x:v>
      </x:c>
      <x:c r="AR20" t="n">
        <x:f>Tabelle2[[#This Row],[35-40 Jahre Weiblich]]+Tabelle2[[#This Row],[35-40 jahre  Männlich]]</x:f>
        <x:v>33</x:v>
      </x:c>
      <x:c r="AS20" t="n">
        <x:f>Tabelle2[[#This Row],[40-45 Jahre Weiblich]]+Tabelle2[[#This Row],[40-45 jahre Männlich]]</x:f>
        <x:v>36</x:v>
      </x:c>
      <x:c r="AT20" t="n">
        <x:f>Tabelle2[[#This Row],[45-50 Jahre Weiblich]]+Tabelle2[[#This Row],[45-50 jahre Männlich]]</x:f>
        <x:v>86</x:v>
      </x:c>
      <x:c r="AU20" t="n">
        <x:f>Tabelle2[[#This Row],[50-55 Jahre Weiblich]]+Tabelle2[[#This Row],[50-55 jahre Männlich]]</x:f>
        <x:v>163</x:v>
      </x:c>
      <x:c r="AV20" t="n">
        <x:f>Tabelle2[[#This Row],[55-60 Jahre Weiblich]]+Tabelle2[[#This Row],[55-60 jahre Männlich]]</x:f>
        <x:v>188</x:v>
      </x:c>
      <x:c r="AW20" t="n">
        <x:f>Tabelle2[[#This Row],[60-65 Jahre Weiblich]]+Tabelle2[[#This Row],[60-65 jahre Männlich]]</x:f>
        <x:v>223</x:v>
      </x:c>
      <x:c r="AX20" t="n">
        <x:f>Tabelle2[[#This Row],[65-70 Jahre Weiblich]]+Tabelle2[[#This Row],[65-70 Jahre  Männlich]]</x:f>
        <x:v>287</x:v>
      </x:c>
      <x:c r="AY20" t="n">
        <x:f>Tabelle2[[#This Row],[70-75Jahre Weiblich]]+Tabelle2[[#This Row],[70-75 jahre Männlch]]</x:f>
        <x:v>306</x:v>
      </x:c>
      <x:c r="AZ20" t="e">
        <x:f>Tabelle2[[#This Row],[75-80 Jahre Weiblich]]+Tabelle2[[#This Row],[75-80 jahre Männlich]]</x:f>
      </x:c>
      <x:c r="BA20" t="n">
        <x:f>Tabelle2[[#This Row],[80-85 Jahre Weiblich]]+Tabelle2[[#This Row],[80-85 jahre Männlich]]</x:f>
        <x:v>519</x:v>
      </x:c>
      <x:c r="BB20" t="n">
        <x:f>Tabelle2[[#This Row],[85 und mehr Weiblich]]+Tabelle2[[#This Row],[85 und mehr]]</x:f>
        <x:v>571</x:v>
      </x:c>
    </x:row>
    <x:row r="21">
      <x:c r="A21" s="1" t="s">
        <x:v>54</x:v>
      </x:c>
      <x:c r="B21" s="2" t="str">
        <x:v>Brustdrüse</x:v>
      </x:c>
      <x:c r="C21" s="3">
        <x:v>0</x:v>
      </x:c>
      <x:c r="D21" s="3">
        <x:v>0</x:v>
      </x:c>
      <x:c r="E21" s="3">
        <x:v>0</x:v>
      </x:c>
      <x:c r="F21" s="3">
        <x:v>0</x:v>
      </x:c>
      <x:c r="G21" s="3">
        <x:v>1</x:v>
      </x:c>
      <x:c r="H21" s="3">
        <x:v>0</x:v>
      </x:c>
      <x:c r="I21" s="3">
        <x:v>2</x:v>
      </x:c>
      <x:c r="J21" s="3">
        <x:v>4</x:v>
      </x:c>
      <x:c r="K21" s="3">
        <x:v>1</x:v>
      </x:c>
      <x:c r="L21" s="3">
        <x:v>5</x:v>
      </x:c>
      <x:c r="M21" s="3">
        <x:v>11</x:v>
      </x:c>
      <x:c r="N21" s="3">
        <x:v>15</x:v>
      </x:c>
      <x:c r="O21" s="3">
        <x:v>18</x:v>
      </x:c>
      <x:c r="P21" s="3">
        <x:v>28</x:v>
      </x:c>
      <x:c r="Q21" s="3">
        <x:v>37</x:v>
      </x:c>
      <x:c r="R21" s="3">
        <x:v>42</x:v>
      </x:c>
      <x:c r="S21" s="3">
        <x:v>31</x:v>
      </x:c>
      <x:c r="T21" s="3">
        <x:v>0</x:v>
      </x:c>
      <x:c r="U21" s="3">
        <x:v>0</x:v>
      </x:c>
      <x:c r="V21" s="3">
        <x:v>0</x:v>
      </x:c>
      <x:c r="W21" s="3">
        <x:v>0</x:v>
      </x:c>
      <x:c r="X21" s="3">
        <x:v>3</x:v>
      </x:c>
      <x:c r="Y21" s="3">
        <x:v>25</x:v>
      </x:c>
      <x:c r="Z21" s="3">
        <x:v>76</x:v>
      </x:c>
      <x:c r="AA21" s="3">
        <x:v>194</x:v>
      </x:c>
      <x:c r="AB21" s="3">
        <x:v>297</x:v>
      </x:c>
      <x:c r="AC21" s="3">
        <x:v>596</x:v>
      </x:c>
      <x:c r="AD21" s="3">
        <x:v>1023</x:v>
      </x:c>
      <x:c r="AE21" s="3">
        <x:v>1309</x:v>
      </x:c>
      <x:c r="AF21" s="3">
        <x:v>1416</x:v>
      </x:c>
      <x:c r="AG21" s="3">
        <x:v>1750</x:v>
      </x:c>
      <x:c r="AH21" s="3">
        <x:v>1847</x:v>
      </x:c>
      <x:c r="AJ21" s="3">
        <x:v>3092</x:v>
      </x:c>
      <x:c r="AK21" s="3">
        <x:v>4122</x:v>
      </x:c>
      <x:c r="AL21" t="n">
        <x:f>Tabelle2[[#This Row],[1 jahre Weiblich]]+Tabelle2[[#This Row],[unter 1 Jahr Männlich]]</x:f>
        <x:v>0</x:v>
      </x:c>
      <x:c r="AM21" t="n">
        <x:f>Tabelle2[[#This Row],[1-15 Jahre Weiblich]]+Tabelle2[[#This Row],[1-15 jahre Mänlich]]</x:f>
        <x:v>0</x:v>
      </x:c>
      <x:c r="AN21" t="n">
        <x:f>Tabelle2[[#This Row],[15-20 Jahre Weiblich]]+Tabelle2[[#This Row],[15-20 jahre Männlich]]</x:f>
        <x:v>0</x:v>
      </x:c>
      <x:c r="AO21" t="n">
        <x:f>Tabelle2[[#This Row],[20-25 jahre weiblich]]+Tabelle2[[#This Row],[20-25 jahre Männlich]]</x:f>
        <x:v>3</x:v>
      </x:c>
      <x:c r="AP21" t="n">
        <x:f>Tabelle2[[#This Row],[25-30 Jahre Weiblich]]+Tabelle2[[#This Row],[25-30 jahre Männlich]]</x:f>
        <x:v>26</x:v>
      </x:c>
      <x:c r="AQ21" t="n">
        <x:f>Tabelle2[[#This Row],[30-35 Jahre Weiblich]]+Tabelle2[[#This Row],[30-35 jahre Männlich]]</x:f>
        <x:v>76</x:v>
      </x:c>
      <x:c r="AR21" t="n">
        <x:f>Tabelle2[[#This Row],[35-40 Jahre Weiblich]]+Tabelle2[[#This Row],[35-40 jahre  Männlich]]</x:f>
        <x:v>196</x:v>
      </x:c>
      <x:c r="AS21" t="n">
        <x:f>Tabelle2[[#This Row],[40-45 Jahre Weiblich]]+Tabelle2[[#This Row],[40-45 jahre Männlich]]</x:f>
        <x:v>301</x:v>
      </x:c>
      <x:c r="AT21" t="n">
        <x:f>Tabelle2[[#This Row],[45-50 Jahre Weiblich]]+Tabelle2[[#This Row],[45-50 jahre Männlich]]</x:f>
        <x:v>597</x:v>
      </x:c>
      <x:c r="AU21" t="n">
        <x:f>Tabelle2[[#This Row],[50-55 Jahre Weiblich]]+Tabelle2[[#This Row],[50-55 jahre Männlich]]</x:f>
        <x:v>1028</x:v>
      </x:c>
      <x:c r="AV21" t="n">
        <x:f>Tabelle2[[#This Row],[55-60 Jahre Weiblich]]+Tabelle2[[#This Row],[55-60 jahre Männlich]]</x:f>
        <x:v>1320</x:v>
      </x:c>
      <x:c r="AW21" t="n">
        <x:f>Tabelle2[[#This Row],[60-65 Jahre Weiblich]]+Tabelle2[[#This Row],[60-65 jahre Männlich]]</x:f>
        <x:v>1431</x:v>
      </x:c>
      <x:c r="AX21" t="n">
        <x:f>Tabelle2[[#This Row],[65-70 Jahre Weiblich]]+Tabelle2[[#This Row],[65-70 Jahre  Männlich]]</x:f>
        <x:v>1768</x:v>
      </x:c>
      <x:c r="AY21" t="n">
        <x:f>Tabelle2[[#This Row],[70-75Jahre Weiblich]]+Tabelle2[[#This Row],[70-75 jahre Männlch]]</x:f>
        <x:v>1875</x:v>
      </x:c>
      <x:c r="AZ21" t="e">
        <x:f>Tabelle2[[#This Row],[75-80 Jahre Weiblich]]+Tabelle2[[#This Row],[75-80 jahre Männlich]]</x:f>
      </x:c>
      <x:c r="BA21" t="n">
        <x:f>Tabelle2[[#This Row],[80-85 Jahre Weiblich]]+Tabelle2[[#This Row],[80-85 jahre Männlich]]</x:f>
        <x:v>3134</x:v>
      </x:c>
      <x:c r="BB21" t="n">
        <x:f>Tabelle2[[#This Row],[85 und mehr Weiblich]]+Tabelle2[[#This Row],[85 und mehr]]</x:f>
        <x:v>4153</x:v>
      </x:c>
    </x:row>
    <x:row r="22">
      <x:c r="A22" s="1" t="s">
        <x:v>54</x:v>
      </x:c>
      <x:c r="B22" s="2" t="str">
        <x:v>Genital-/Harnorgane</x:v>
      </x:c>
      <x:c r="C22" s="3">
        <x:v>0</x:v>
      </x:c>
      <x:c r="D22" s="3">
        <x:v>4</x:v>
      </x:c>
      <x:c r="E22" s="3">
        <x:v>2</x:v>
      </x:c>
      <x:c r="F22" s="3">
        <x:v>5</x:v>
      </x:c>
      <x:c r="G22" s="3">
        <x:v>9</x:v>
      </x:c>
      <x:c r="H22" s="3">
        <x:v>17</x:v>
      </x:c>
      <x:c r="I22" s="3">
        <x:v>38</x:v>
      </x:c>
      <x:c r="J22" s="3">
        <x:v>42</x:v>
      </x:c>
      <x:c r="K22" s="3">
        <x:v>124</x:v>
      </x:c>
      <x:c r="L22" s="3">
        <x:v>334</x:v>
      </x:c>
      <x:c r="M22" s="3">
        <x:v>750</x:v>
      </x:c>
      <x:c r="N22" s="3">
        <x:v>1355</x:v>
      </x:c>
      <x:c r="O22" s="3">
        <x:v>2173</x:v>
      </x:c>
      <x:c r="P22" s="3">
        <x:v>2818</x:v>
      </x:c>
      <x:c r="Q22" s="3">
        <x:v>5247</x:v>
      </x:c>
      <x:c r="R22" s="3">
        <x:v>5733</x:v>
      </x:c>
      <x:c r="S22" s="3">
        <x:v>6785</x:v>
      </x:c>
      <x:c r="T22" s="3">
        <x:v>0</x:v>
      </x:c>
      <x:c r="U22" s="3">
        <x:v>0</x:v>
      </x:c>
      <x:c r="V22" s="3">
        <x:v>5</x:v>
      </x:c>
      <x:c r="W22" s="3">
        <x:v>1</x:v>
      </x:c>
      <x:c r="X22" s="3">
        <x:v>4</x:v>
      </x:c>
      <x:c r="Y22" s="3">
        <x:v>21</x:v>
      </x:c>
      <x:c r="Z22" s="3">
        <x:v>58</x:v>
      </x:c>
      <x:c r="AA22" s="3">
        <x:v>94</x:v>
      </x:c>
      <x:c r="AB22" s="3">
        <x:v>147</x:v>
      </x:c>
      <x:c r="AC22" s="3">
        <x:v>319</x:v>
      </x:c>
      <x:c r="AD22" s="3">
        <x:v>625</x:v>
      </x:c>
      <x:c r="AE22" s="3">
        <x:v>1016</x:v>
      </x:c>
      <x:c r="AF22" s="3">
        <x:v>1238</x:v>
      </x:c>
      <x:c r="AG22" s="3">
        <x:v>1560</x:v>
      </x:c>
      <x:c r="AH22" s="3">
        <x:v>1700</x:v>
      </x:c>
      <x:c r="AJ22" s="3">
        <x:v>3053</x:v>
      </x:c>
      <x:c r="AK22" s="3">
        <x:v>3524</x:v>
      </x:c>
      <x:c r="AL22" t="n">
        <x:f>Tabelle2[[#This Row],[1 jahre Weiblich]]+Tabelle2[[#This Row],[unter 1 Jahr Männlich]]</x:f>
        <x:v>0</x:v>
      </x:c>
      <x:c r="AM22" t="n">
        <x:f>Tabelle2[[#This Row],[1-15 Jahre Weiblich]]+Tabelle2[[#This Row],[1-15 jahre Mänlich]]</x:f>
        <x:v>9</x:v>
      </x:c>
      <x:c r="AN22" t="n">
        <x:f>Tabelle2[[#This Row],[15-20 Jahre Weiblich]]+Tabelle2[[#This Row],[15-20 jahre Männlich]]</x:f>
        <x:v>3</x:v>
      </x:c>
      <x:c r="AO22" t="n">
        <x:f>Tabelle2[[#This Row],[20-25 jahre weiblich]]+Tabelle2[[#This Row],[20-25 jahre Männlich]]</x:f>
        <x:v>9</x:v>
      </x:c>
      <x:c r="AP22" t="n">
        <x:f>Tabelle2[[#This Row],[25-30 Jahre Weiblich]]+Tabelle2[[#This Row],[25-30 jahre Männlich]]</x:f>
        <x:v>30</x:v>
      </x:c>
      <x:c r="AQ22" t="n">
        <x:f>Tabelle2[[#This Row],[30-35 Jahre Weiblich]]+Tabelle2[[#This Row],[30-35 jahre Männlich]]</x:f>
        <x:v>75</x:v>
      </x:c>
      <x:c r="AR22" t="n">
        <x:f>Tabelle2[[#This Row],[35-40 Jahre Weiblich]]+Tabelle2[[#This Row],[35-40 jahre  Männlich]]</x:f>
        <x:v>132</x:v>
      </x:c>
      <x:c r="AS22" t="n">
        <x:f>Tabelle2[[#This Row],[40-45 Jahre Weiblich]]+Tabelle2[[#This Row],[40-45 jahre Männlich]]</x:f>
        <x:v>189</x:v>
      </x:c>
      <x:c r="AT22" t="n">
        <x:f>Tabelle2[[#This Row],[45-50 Jahre Weiblich]]+Tabelle2[[#This Row],[45-50 jahre Männlich]]</x:f>
        <x:v>443</x:v>
      </x:c>
      <x:c r="AU22" t="n">
        <x:f>Tabelle2[[#This Row],[50-55 Jahre Weiblich]]+Tabelle2[[#This Row],[50-55 jahre Männlich]]</x:f>
        <x:v>959</x:v>
      </x:c>
      <x:c r="AV22" t="n">
        <x:f>Tabelle2[[#This Row],[55-60 Jahre Weiblich]]+Tabelle2[[#This Row],[55-60 jahre Männlich]]</x:f>
        <x:v>1766</x:v>
      </x:c>
      <x:c r="AW22" t="n">
        <x:f>Tabelle2[[#This Row],[60-65 Jahre Weiblich]]+Tabelle2[[#This Row],[60-65 jahre Männlich]]</x:f>
        <x:v>2593</x:v>
      </x:c>
      <x:c r="AX22" t="n">
        <x:f>Tabelle2[[#This Row],[65-70 Jahre Weiblich]]+Tabelle2[[#This Row],[65-70 Jahre  Männlich]]</x:f>
        <x:v>3733</x:v>
      </x:c>
      <x:c r="AY22" t="n">
        <x:f>Tabelle2[[#This Row],[70-75Jahre Weiblich]]+Tabelle2[[#This Row],[70-75 jahre Männlch]]</x:f>
        <x:v>4518</x:v>
      </x:c>
      <x:c r="AZ22" t="e">
        <x:f>Tabelle2[[#This Row],[75-80 Jahre Weiblich]]+Tabelle2[[#This Row],[75-80 jahre Männlich]]</x:f>
      </x:c>
      <x:c r="BA22" t="n">
        <x:f>Tabelle2[[#This Row],[80-85 Jahre Weiblich]]+Tabelle2[[#This Row],[80-85 jahre Männlich]]</x:f>
        <x:v>8786</x:v>
      </x:c>
      <x:c r="BB22" t="n">
        <x:f>Tabelle2[[#This Row],[85 und mehr Weiblich]]+Tabelle2[[#This Row],[85 und mehr]]</x:f>
        <x:v>10309</x:v>
      </x:c>
    </x:row>
    <x:row r="23">
      <x:c r="A23" s="1" t="s">
        <x:v>54</x:v>
      </x:c>
      <x:c r="B23" s="2" t="s">
        <x:v>69</x:v>
      </x:c>
      <x:c r="C23" s="3">
        <x:v>0</x:v>
      </x:c>
      <x:c r="D23" s="3">
        <x:v>0</x:v>
      </x:c>
      <x:c r="E23" s="3">
        <x:v>0</x:v>
      </x:c>
      <x:c r="F23" s="3">
        <x:v>0</x:v>
      </x:c>
      <x:c r="G23" s="3">
        <x:v>0</x:v>
      </x:c>
      <x:c r="H23" s="3">
        <x:v>0</x:v>
      </x:c>
      <x:c r="I23" s="3">
        <x:v>0</x:v>
      </x:c>
      <x:c r="J23" s="3">
        <x:v>0</x:v>
      </x:c>
      <x:c r="K23" s="3">
        <x:v>0</x:v>
      </x:c>
      <x:c r="L23" s="3">
        <x:v>0</x:v>
      </x:c>
      <x:c r="M23" s="3">
        <x:v>0</x:v>
      </x:c>
      <x:c r="N23" s="3">
        <x:v>0</x:v>
      </x:c>
      <x:c r="O23" s="3">
        <x:v>0</x:v>
      </x:c>
      <x:c r="P23" s="3">
        <x:v>0</x:v>
      </x:c>
      <x:c r="Q23" s="3">
        <x:v>0</x:v>
      </x:c>
      <x:c r="R23" s="3">
        <x:v>0</x:v>
      </x:c>
      <x:c r="S23" s="3">
        <x:v>0</x:v>
      </x:c>
      <x:c r="T23" s="3">
        <x:v>0</x:v>
      </x:c>
      <x:c r="U23" s="3">
        <x:v>0</x:v>
      </x:c>
      <x:c r="V23" s="3">
        <x:v>1</x:v>
      </x:c>
      <x:c r="W23" s="3">
        <x:v>0</x:v>
      </x:c>
      <x:c r="X23" s="3">
        <x:v>0</x:v>
      </x:c>
      <x:c r="Y23" s="3">
        <x:v>9</x:v>
      </x:c>
      <x:c r="Z23" s="3">
        <x:v>36</x:v>
      </x:c>
      <x:c r="AA23" s="3">
        <x:v>45</x:v>
      </x:c>
      <x:c r="AB23" s="3">
        <x:v>61</x:v>
      </x:c>
      <x:c r="AC23" s="3">
        <x:v>103</x:v>
      </x:c>
      <x:c r="AD23" s="3">
        <x:v>152</x:v>
      </x:c>
      <x:c r="AE23" s="3">
        <x:v>207</x:v>
      </x:c>
      <x:c r="AF23" s="3">
        <x:v>173</x:v>
      </x:c>
      <x:c r="AG23" s="3">
        <x:v>187</x:v>
      </x:c>
      <x:c r="AH23" s="3">
        <x:v>160</x:v>
      </x:c>
      <x:c r="AJ23" s="3">
        <x:v>141</x:v>
      </x:c>
      <x:c r="AK23" s="3">
        <x:v>175</x:v>
      </x:c>
      <x:c r="AL23" t="n">
        <x:f>Tabelle2[[#This Row],[1 jahre Weiblich]]+Tabelle2[[#This Row],[unter 1 Jahr Männlich]]</x:f>
        <x:v>0</x:v>
      </x:c>
      <x:c r="AM23" t="n">
        <x:f>Tabelle2[[#This Row],[1-15 Jahre Weiblich]]+Tabelle2[[#This Row],[1-15 jahre Mänlich]]</x:f>
        <x:v>1</x:v>
      </x:c>
      <x:c r="AN23" t="n">
        <x:f>Tabelle2[[#This Row],[15-20 Jahre Weiblich]]+Tabelle2[[#This Row],[15-20 jahre Männlich]]</x:f>
        <x:v>0</x:v>
      </x:c>
      <x:c r="AO23" t="n">
        <x:f>Tabelle2[[#This Row],[20-25 jahre weiblich]]+Tabelle2[[#This Row],[20-25 jahre Männlich]]</x:f>
        <x:v>0</x:v>
      </x:c>
      <x:c r="AP23" t="n">
        <x:f>Tabelle2[[#This Row],[25-30 Jahre Weiblich]]+Tabelle2[[#This Row],[25-30 jahre Männlich]]</x:f>
        <x:v>9</x:v>
      </x:c>
      <x:c r="AQ23" t="n">
        <x:f>Tabelle2[[#This Row],[30-35 Jahre Weiblich]]+Tabelle2[[#This Row],[30-35 jahre Männlich]]</x:f>
        <x:v>36</x:v>
      </x:c>
      <x:c r="AR23" t="n">
        <x:f>Tabelle2[[#This Row],[35-40 Jahre Weiblich]]+Tabelle2[[#This Row],[35-40 jahre  Männlich]]</x:f>
        <x:v>45</x:v>
      </x:c>
      <x:c r="AS23" t="n">
        <x:f>Tabelle2[[#This Row],[40-45 Jahre Weiblich]]+Tabelle2[[#This Row],[40-45 jahre Männlich]]</x:f>
        <x:v>61</x:v>
      </x:c>
      <x:c r="AT23" t="n">
        <x:f>Tabelle2[[#This Row],[45-50 Jahre Weiblich]]+Tabelle2[[#This Row],[45-50 jahre Männlich]]</x:f>
        <x:v>103</x:v>
      </x:c>
      <x:c r="AU23" t="n">
        <x:f>Tabelle2[[#This Row],[50-55 Jahre Weiblich]]+Tabelle2[[#This Row],[50-55 jahre Männlich]]</x:f>
        <x:v>152</x:v>
      </x:c>
      <x:c r="AV23" t="n">
        <x:f>Tabelle2[[#This Row],[55-60 Jahre Weiblich]]+Tabelle2[[#This Row],[55-60 jahre Männlich]]</x:f>
        <x:v>207</x:v>
      </x:c>
      <x:c r="AW23" t="n">
        <x:f>Tabelle2[[#This Row],[60-65 Jahre Weiblich]]+Tabelle2[[#This Row],[60-65 jahre Männlich]]</x:f>
        <x:v>173</x:v>
      </x:c>
      <x:c r="AX23" t="n">
        <x:f>Tabelle2[[#This Row],[65-70 Jahre Weiblich]]+Tabelle2[[#This Row],[65-70 Jahre  Männlich]]</x:f>
        <x:v>187</x:v>
      </x:c>
      <x:c r="AY23" t="n">
        <x:f>Tabelle2[[#This Row],[70-75Jahre Weiblich]]+Tabelle2[[#This Row],[70-75 jahre Männlch]]</x:f>
        <x:v>160</x:v>
      </x:c>
      <x:c r="AZ23" t="e">
        <x:f>Tabelle2[[#This Row],[75-80 Jahre Weiblich]]+Tabelle2[[#This Row],[75-80 jahre Männlich]]</x:f>
      </x:c>
      <x:c r="BA23" t="n">
        <x:f>Tabelle2[[#This Row],[80-85 Jahre Weiblich]]+Tabelle2[[#This Row],[80-85 jahre Männlich]]</x:f>
        <x:v>141</x:v>
      </x:c>
      <x:c r="BB23" t="n">
        <x:f>Tabelle2[[#This Row],[85 und mehr Weiblich]]+Tabelle2[[#This Row],[85 und mehr]]</x:f>
        <x:v>175</x:v>
      </x:c>
    </x:row>
    <x:row r="24">
      <x:c r="A24" s="1" t="s">
        <x:v>54</x:v>
      </x:c>
      <x:c r="B24" s="2" t="s">
        <x:v>70</x:v>
      </x:c>
      <x:c r="C24" s="3">
        <x:v>0</x:v>
      </x:c>
      <x:c r="D24" s="3">
        <x:v>0</x:v>
      </x:c>
      <x:c r="E24" s="3">
        <x:v>0</x:v>
      </x:c>
      <x:c r="F24" s="3">
        <x:v>0</x:v>
      </x:c>
      <x:c r="G24" s="3">
        <x:v>0</x:v>
      </x:c>
      <x:c r="H24" s="3">
        <x:v>0</x:v>
      </x:c>
      <x:c r="I24" s="3">
        <x:v>0</x:v>
      </x:c>
      <x:c r="J24" s="3">
        <x:v>0</x:v>
      </x:c>
      <x:c r="K24" s="3">
        <x:v>0</x:v>
      </x:c>
      <x:c r="L24" s="3">
        <x:v>0</x:v>
      </x:c>
      <x:c r="M24" s="3">
        <x:v>0</x:v>
      </x:c>
      <x:c r="N24" s="3">
        <x:v>0</x:v>
      </x:c>
      <x:c r="O24" s="3">
        <x:v>0</x:v>
      </x:c>
      <x:c r="P24" s="3">
        <x:v>0</x:v>
      </x:c>
      <x:c r="Q24" s="3">
        <x:v>0</x:v>
      </x:c>
      <x:c r="R24" s="3">
        <x:v>0</x:v>
      </x:c>
      <x:c r="S24" s="3">
        <x:v>0</x:v>
      </x:c>
      <x:c r="T24" s="3">
        <x:v>0</x:v>
      </x:c>
      <x:c r="U24" s="3">
        <x:v>0</x:v>
      </x:c>
      <x:c r="V24" s="3">
        <x:v>0</x:v>
      </x:c>
      <x:c r="W24" s="3">
        <x:v>0</x:v>
      </x:c>
      <x:c r="X24" s="3">
        <x:v>0</x:v>
      </x:c>
      <x:c r="Y24" s="3">
        <x:v>1</x:v>
      </x:c>
      <x:c r="Z24" s="3">
        <x:v>1</x:v>
      </x:c>
      <x:c r="AA24" s="3">
        <x:v>5</x:v>
      </x:c>
      <x:c r="AB24" s="3">
        <x:v>18</x:v>
      </x:c>
      <x:c r="AC24" s="3">
        <x:v>29</x:v>
      </x:c>
      <x:c r="AD24" s="3">
        <x:v>78</x:v>
      </x:c>
      <x:c r="AE24" s="3">
        <x:v>152</x:v>
      </x:c>
      <x:c r="AF24" s="3">
        <x:v>201</x:v>
      </x:c>
      <x:c r="AG24" s="3">
        <x:v>300</x:v>
      </x:c>
      <x:c r="AH24" s="3">
        <x:v>293</x:v>
      </x:c>
      <x:c r="AJ24" s="3">
        <x:v>477</x:v>
      </x:c>
      <x:c r="AK24" s="3">
        <x:v>555</x:v>
      </x:c>
      <x:c r="AL24" t="n">
        <x:f>Tabelle2[[#This Row],[1 jahre Weiblich]]+Tabelle2[[#This Row],[unter 1 Jahr Männlich]]</x:f>
        <x:v>0</x:v>
      </x:c>
      <x:c r="AM24" t="n">
        <x:f>Tabelle2[[#This Row],[1-15 Jahre Weiblich]]+Tabelle2[[#This Row],[1-15 jahre Mänlich]]</x:f>
        <x:v>0</x:v>
      </x:c>
      <x:c r="AN24" t="n">
        <x:f>Tabelle2[[#This Row],[15-20 Jahre Weiblich]]+Tabelle2[[#This Row],[15-20 jahre Männlich]]</x:f>
        <x:v>0</x:v>
      </x:c>
      <x:c r="AO24" t="n">
        <x:f>Tabelle2[[#This Row],[20-25 jahre weiblich]]+Tabelle2[[#This Row],[20-25 jahre Männlich]]</x:f>
        <x:v>0</x:v>
      </x:c>
      <x:c r="AP24" t="n">
        <x:f>Tabelle2[[#This Row],[25-30 Jahre Weiblich]]+Tabelle2[[#This Row],[25-30 jahre Männlich]]</x:f>
        <x:v>1</x:v>
      </x:c>
      <x:c r="AQ24" t="n">
        <x:f>Tabelle2[[#This Row],[30-35 Jahre Weiblich]]+Tabelle2[[#This Row],[30-35 jahre Männlich]]</x:f>
        <x:v>1</x:v>
      </x:c>
      <x:c r="AR24" t="n">
        <x:f>Tabelle2[[#This Row],[35-40 Jahre Weiblich]]+Tabelle2[[#This Row],[35-40 jahre  Männlich]]</x:f>
        <x:v>5</x:v>
      </x:c>
      <x:c r="AS24" t="n">
        <x:f>Tabelle2[[#This Row],[40-45 Jahre Weiblich]]+Tabelle2[[#This Row],[40-45 jahre Männlich]]</x:f>
        <x:v>18</x:v>
      </x:c>
      <x:c r="AT24" t="n">
        <x:f>Tabelle2[[#This Row],[45-50 Jahre Weiblich]]+Tabelle2[[#This Row],[45-50 jahre Männlich]]</x:f>
        <x:v>29</x:v>
      </x:c>
      <x:c r="AU24" t="n">
        <x:f>Tabelle2[[#This Row],[50-55 Jahre Weiblich]]+Tabelle2[[#This Row],[50-55 jahre Männlich]]</x:f>
        <x:v>78</x:v>
      </x:c>
      <x:c r="AV24" t="n">
        <x:f>Tabelle2[[#This Row],[55-60 Jahre Weiblich]]+Tabelle2[[#This Row],[55-60 jahre Männlich]]</x:f>
        <x:v>152</x:v>
      </x:c>
      <x:c r="AW24" t="n">
        <x:f>Tabelle2[[#This Row],[60-65 Jahre Weiblich]]+Tabelle2[[#This Row],[60-65 jahre Männlich]]</x:f>
        <x:v>201</x:v>
      </x:c>
      <x:c r="AX24" t="n">
        <x:f>Tabelle2[[#This Row],[65-70 Jahre Weiblich]]+Tabelle2[[#This Row],[65-70 Jahre  Männlich]]</x:f>
        <x:v>300</x:v>
      </x:c>
      <x:c r="AY24" t="n">
        <x:f>Tabelle2[[#This Row],[70-75Jahre Weiblich]]+Tabelle2[[#This Row],[70-75 jahre Männlch]]</x:f>
        <x:v>293</x:v>
      </x:c>
      <x:c r="AZ24" t="e">
        <x:f>Tabelle2[[#This Row],[75-80 Jahre Weiblich]]+Tabelle2[[#This Row],[75-80 jahre Männlich]]</x:f>
      </x:c>
      <x:c r="BA24" t="n">
        <x:f>Tabelle2[[#This Row],[80-85 Jahre Weiblich]]+Tabelle2[[#This Row],[80-85 jahre Männlich]]</x:f>
        <x:v>477</x:v>
      </x:c>
      <x:c r="BB24" t="n">
        <x:f>Tabelle2[[#This Row],[85 und mehr Weiblich]]+Tabelle2[[#This Row],[85 und mehr]]</x:f>
        <x:v>555</x:v>
      </x:c>
    </x:row>
    <x:row r="25">
      <x:c r="A25" s="1" t="s">
        <x:v>54</x:v>
      </x:c>
      <x:c r="B25" s="2" t="s">
        <x:v>71</x:v>
      </x:c>
      <x:c r="C25" s="3">
        <x:v>0</x:v>
      </x:c>
      <x:c r="D25" s="3">
        <x:v>0</x:v>
      </x:c>
      <x:c r="E25" s="3">
        <x:v>0</x:v>
      </x:c>
      <x:c r="F25" s="3">
        <x:v>0</x:v>
      </x:c>
      <x:c r="G25" s="3">
        <x:v>0</x:v>
      </x:c>
      <x:c r="H25" s="3">
        <x:v>0</x:v>
      </x:c>
      <x:c r="I25" s="3">
        <x:v>0</x:v>
      </x:c>
      <x:c r="J25" s="3">
        <x:v>0</x:v>
      </x:c>
      <x:c r="K25" s="3">
        <x:v>0</x:v>
      </x:c>
      <x:c r="L25" s="3">
        <x:v>0</x:v>
      </x:c>
      <x:c r="M25" s="3">
        <x:v>0</x:v>
      </x:c>
      <x:c r="N25" s="3">
        <x:v>0</x:v>
      </x:c>
      <x:c r="O25" s="3">
        <x:v>0</x:v>
      </x:c>
      <x:c r="P25" s="3">
        <x:v>0</x:v>
      </x:c>
      <x:c r="Q25" s="3">
        <x:v>0</x:v>
      </x:c>
      <x:c r="R25" s="3">
        <x:v>0</x:v>
      </x:c>
      <x:c r="S25" s="3">
        <x:v>0</x:v>
      </x:c>
      <x:c r="T25" s="3">
        <x:v>0</x:v>
      </x:c>
      <x:c r="U25" s="3">
        <x:v>0</x:v>
      </x:c>
      <x:c r="V25" s="3">
        <x:v>1</x:v>
      </x:c>
      <x:c r="W25" s="3">
        <x:v>0</x:v>
      </x:c>
      <x:c r="X25" s="3">
        <x:v>4</x:v>
      </x:c>
      <x:c r="Y25" s="3">
        <x:v>8</x:v>
      </x:c>
      <x:c r="Z25" s="3">
        <x:v>12</x:v>
      </x:c>
      <x:c r="AA25" s="3">
        <x:v>26</x:v>
      </x:c>
      <x:c r="AB25" s="3">
        <x:v>44</x:v>
      </x:c>
      <x:c r="AC25" s="3">
        <x:v>120</x:v>
      </x:c>
      <x:c r="AD25" s="3">
        <x:v>253</x:v>
      </x:c>
      <x:c r="AE25" s="3">
        <x:v>411</x:v>
      </x:c>
      <x:c r="AF25" s="3">
        <x:v>500</x:v>
      </x:c>
      <x:c r="AG25" s="3">
        <x:v>577</x:v>
      </x:c>
      <x:c r="AH25" s="3">
        <x:v>612</x:v>
      </x:c>
      <x:c r="AJ25" s="3">
        <x:v>960</x:v>
      </x:c>
      <x:c r="AK25" s="3">
        <x:v>774</x:v>
      </x:c>
      <x:c r="AL25" t="n">
        <x:f>Tabelle2[[#This Row],[1 jahre Weiblich]]+Tabelle2[[#This Row],[unter 1 Jahr Männlich]]</x:f>
        <x:v>0</x:v>
      </x:c>
      <x:c r="AM25" t="n">
        <x:f>Tabelle2[[#This Row],[1-15 Jahre Weiblich]]+Tabelle2[[#This Row],[1-15 jahre Mänlich]]</x:f>
        <x:v>1</x:v>
      </x:c>
      <x:c r="AN25" t="n">
        <x:f>Tabelle2[[#This Row],[15-20 Jahre Weiblich]]+Tabelle2[[#This Row],[15-20 jahre Männlich]]</x:f>
        <x:v>0</x:v>
      </x:c>
      <x:c r="AO25" t="n">
        <x:f>Tabelle2[[#This Row],[20-25 jahre weiblich]]+Tabelle2[[#This Row],[20-25 jahre Männlich]]</x:f>
        <x:v>4</x:v>
      </x:c>
      <x:c r="AP25" t="n">
        <x:f>Tabelle2[[#This Row],[25-30 Jahre Weiblich]]+Tabelle2[[#This Row],[25-30 jahre Männlich]]</x:f>
        <x:v>8</x:v>
      </x:c>
      <x:c r="AQ25" t="n">
        <x:f>Tabelle2[[#This Row],[30-35 Jahre Weiblich]]+Tabelle2[[#This Row],[30-35 jahre Männlich]]</x:f>
        <x:v>12</x:v>
      </x:c>
      <x:c r="AR25" t="n">
        <x:f>Tabelle2[[#This Row],[35-40 Jahre Weiblich]]+Tabelle2[[#This Row],[35-40 jahre  Männlich]]</x:f>
        <x:v>26</x:v>
      </x:c>
      <x:c r="AS25" t="n">
        <x:f>Tabelle2[[#This Row],[40-45 Jahre Weiblich]]+Tabelle2[[#This Row],[40-45 jahre Männlich]]</x:f>
        <x:v>44</x:v>
      </x:c>
      <x:c r="AT25" t="n">
        <x:f>Tabelle2[[#This Row],[45-50 Jahre Weiblich]]+Tabelle2[[#This Row],[45-50 jahre Männlich]]</x:f>
        <x:v>120</x:v>
      </x:c>
      <x:c r="AU25" t="n">
        <x:f>Tabelle2[[#This Row],[50-55 Jahre Weiblich]]+Tabelle2[[#This Row],[50-55 jahre Männlich]]</x:f>
        <x:v>253</x:v>
      </x:c>
      <x:c r="AV25" t="n">
        <x:f>Tabelle2[[#This Row],[55-60 Jahre Weiblich]]+Tabelle2[[#This Row],[55-60 jahre Männlich]]</x:f>
        <x:v>411</x:v>
      </x:c>
      <x:c r="AW25" t="n">
        <x:f>Tabelle2[[#This Row],[60-65 Jahre Weiblich]]+Tabelle2[[#This Row],[60-65 jahre Männlich]]</x:f>
        <x:v>500</x:v>
      </x:c>
      <x:c r="AX25" t="n">
        <x:f>Tabelle2[[#This Row],[65-70 Jahre Weiblich]]+Tabelle2[[#This Row],[65-70 Jahre  Männlich]]</x:f>
        <x:v>577</x:v>
      </x:c>
      <x:c r="AY25" t="n">
        <x:f>Tabelle2[[#This Row],[70-75Jahre Weiblich]]+Tabelle2[[#This Row],[70-75 jahre Männlch]]</x:f>
        <x:v>612</x:v>
      </x:c>
      <x:c r="AZ25" t="e">
        <x:f>Tabelle2[[#This Row],[75-80 Jahre Weiblich]]+Tabelle2[[#This Row],[75-80 jahre Männlich]]</x:f>
      </x:c>
      <x:c r="BA25" t="n">
        <x:f>Tabelle2[[#This Row],[80-85 Jahre Weiblich]]+Tabelle2[[#This Row],[80-85 jahre Männlich]]</x:f>
        <x:v>960</x:v>
      </x:c>
      <x:c r="BB25" t="n">
        <x:f>Tabelle2[[#This Row],[85 und mehr Weiblich]]+Tabelle2[[#This Row],[85 und mehr]]</x:f>
        <x:v>774</x:v>
      </x:c>
    </x:row>
    <x:row r="26">
      <x:c r="A26" s="1" t="s">
        <x:v>54</x:v>
      </x:c>
      <x:c r="B26" s="2" t="str">
        <x:v>Prostata</x:v>
      </x:c>
      <x:c r="C26" s="3">
        <x:v>0</x:v>
      </x:c>
      <x:c r="D26" s="3">
        <x:v>0</x:v>
      </x:c>
      <x:c r="E26" s="3">
        <x:v>0</x:v>
      </x:c>
      <x:c r="F26" s="3">
        <x:v>0</x:v>
      </x:c>
      <x:c r="G26" s="3">
        <x:v>0</x:v>
      </x:c>
      <x:c r="H26" s="3">
        <x:v>0</x:v>
      </x:c>
      <x:c r="I26" s="3">
        <x:v>2</x:v>
      </x:c>
      <x:c r="J26" s="3">
        <x:v>3</x:v>
      </x:c>
      <x:c r="K26" s="3">
        <x:v>15</x:v>
      </x:c>
      <x:c r="L26" s="3">
        <x:v>76</x:v>
      </x:c>
      <x:c r="M26" s="3">
        <x:v>263</x:v>
      </x:c>
      <x:c r="N26" s="3">
        <x:v>578</x:v>
      </x:c>
      <x:c r="O26" s="3">
        <x:v>1136</x:v>
      </x:c>
      <x:c r="P26" s="3">
        <x:v>1647</x:v>
      </x:c>
      <x:c r="Q26" s="3">
        <x:v>3257</x:v>
      </x:c>
      <x:c r="R26" s="3">
        <x:v>3549</x:v>
      </x:c>
      <x:c r="S26" s="3">
        <x:v>4437</x:v>
      </x:c>
      <x:c r="T26" s="3">
        <x:v>0</x:v>
      </x:c>
      <x:c r="U26" s="3">
        <x:v>0</x:v>
      </x:c>
      <x:c r="V26" s="3">
        <x:v>0</x:v>
      </x:c>
      <x:c r="W26" s="3">
        <x:v>0</x:v>
      </x:c>
      <x:c r="X26" s="3">
        <x:v>0</x:v>
      </x:c>
      <x:c r="Y26" s="3">
        <x:v>0</x:v>
      </x:c>
      <x:c r="Z26" s="3">
        <x:v>0</x:v>
      </x:c>
      <x:c r="AA26" s="3">
        <x:v>0</x:v>
      </x:c>
      <x:c r="AB26" s="3">
        <x:v>0</x:v>
      </x:c>
      <x:c r="AC26" s="3">
        <x:v>0</x:v>
      </x:c>
      <x:c r="AD26" s="3">
        <x:v>0</x:v>
      </x:c>
      <x:c r="AE26" s="3">
        <x:v>0</x:v>
      </x:c>
      <x:c r="AF26" s="3">
        <x:v>0</x:v>
      </x:c>
      <x:c r="AG26" s="3">
        <x:v>0</x:v>
      </x:c>
      <x:c r="AH26" s="3">
        <x:v>0</x:v>
      </x:c>
      <x:c r="AJ26" s="3">
        <x:v>0</x:v>
      </x:c>
      <x:c r="AK26" s="3">
        <x:v>0</x:v>
      </x:c>
      <x:c r="AL26" t="n">
        <x:f>Tabelle2[[#This Row],[1 jahre Weiblich]]+Tabelle2[[#This Row],[unter 1 Jahr Männlich]]</x:f>
        <x:v>0</x:v>
      </x:c>
      <x:c r="AM26" t="n">
        <x:f>Tabelle2[[#This Row],[1-15 Jahre Weiblich]]+Tabelle2[[#This Row],[1-15 jahre Mänlich]]</x:f>
        <x:v>0</x:v>
      </x:c>
      <x:c r="AN26" t="n">
        <x:f>Tabelle2[[#This Row],[15-20 Jahre Weiblich]]+Tabelle2[[#This Row],[15-20 jahre Männlich]]</x:f>
        <x:v>0</x:v>
      </x:c>
      <x:c r="AO26" t="n">
        <x:f>Tabelle2[[#This Row],[20-25 jahre weiblich]]+Tabelle2[[#This Row],[20-25 jahre Männlich]]</x:f>
        <x:v>0</x:v>
      </x:c>
      <x:c r="AP26" t="n">
        <x:f>Tabelle2[[#This Row],[25-30 Jahre Weiblich]]+Tabelle2[[#This Row],[25-30 jahre Männlich]]</x:f>
        <x:v>0</x:v>
      </x:c>
      <x:c r="AQ26" t="n">
        <x:f>Tabelle2[[#This Row],[30-35 Jahre Weiblich]]+Tabelle2[[#This Row],[30-35 jahre Männlich]]</x:f>
        <x:v>0</x:v>
      </x:c>
      <x:c r="AR26" t="n">
        <x:f>Tabelle2[[#This Row],[35-40 Jahre Weiblich]]+Tabelle2[[#This Row],[35-40 jahre  Männlich]]</x:f>
        <x:v>2</x:v>
      </x:c>
      <x:c r="AS26" t="n">
        <x:f>Tabelle2[[#This Row],[40-45 Jahre Weiblich]]+Tabelle2[[#This Row],[40-45 jahre Männlich]]</x:f>
        <x:v>3</x:v>
      </x:c>
      <x:c r="AT26" t="n">
        <x:f>Tabelle2[[#This Row],[45-50 Jahre Weiblich]]+Tabelle2[[#This Row],[45-50 jahre Männlich]]</x:f>
        <x:v>15</x:v>
      </x:c>
      <x:c r="AU26" t="n">
        <x:f>Tabelle2[[#This Row],[50-55 Jahre Weiblich]]+Tabelle2[[#This Row],[50-55 jahre Männlich]]</x:f>
        <x:v>76</x:v>
      </x:c>
      <x:c r="AV26" t="n">
        <x:f>Tabelle2[[#This Row],[55-60 Jahre Weiblich]]+Tabelle2[[#This Row],[55-60 jahre Männlich]]</x:f>
        <x:v>263</x:v>
      </x:c>
      <x:c r="AW26" t="n">
        <x:f>Tabelle2[[#This Row],[60-65 Jahre Weiblich]]+Tabelle2[[#This Row],[60-65 jahre Männlich]]</x:f>
        <x:v>578</x:v>
      </x:c>
      <x:c r="AX26" t="n">
        <x:f>Tabelle2[[#This Row],[65-70 Jahre Weiblich]]+Tabelle2[[#This Row],[65-70 Jahre  Männlich]]</x:f>
        <x:v>1136</x:v>
      </x:c>
      <x:c r="AY26" t="n">
        <x:f>Tabelle2[[#This Row],[70-75Jahre Weiblich]]+Tabelle2[[#This Row],[70-75 jahre Männlch]]</x:f>
        <x:v>1647</x:v>
      </x:c>
      <x:c r="AZ26" t="e">
        <x:f>Tabelle2[[#This Row],[75-80 Jahre Weiblich]]+Tabelle2[[#This Row],[75-80 jahre Männlich]]</x:f>
      </x:c>
      <x:c r="BA26" t="n">
        <x:f>Tabelle2[[#This Row],[80-85 Jahre Weiblich]]+Tabelle2[[#This Row],[80-85 jahre Männlich]]</x:f>
        <x:v>3549</x:v>
      </x:c>
      <x:c r="BB26" t="n">
        <x:f>Tabelle2[[#This Row],[85 und mehr Weiblich]]+Tabelle2[[#This Row],[85 und mehr]]</x:f>
        <x:v>4437</x:v>
      </x:c>
    </x:row>
    <x:row r="27">
      <x:c r="A27" s="1" t="s">
        <x:v>54</x:v>
      </x:c>
      <x:c r="B27" s="2" t="s">
        <x:v>72</x:v>
      </x:c>
      <x:c r="C27" s="3">
        <x:v>0</x:v>
      </x:c>
      <x:c r="D27" s="3">
        <x:v>4</x:v>
      </x:c>
      <x:c r="E27" s="3">
        <x:v>0</x:v>
      </x:c>
      <x:c r="F27" s="3">
        <x:v>0</x:v>
      </x:c>
      <x:c r="G27" s="3">
        <x:v>0</x:v>
      </x:c>
      <x:c r="H27" s="3">
        <x:v>2</x:v>
      </x:c>
      <x:c r="I27" s="3">
        <x:v>9</x:v>
      </x:c>
      <x:c r="J27" s="3">
        <x:v>12</x:v>
      </x:c>
      <x:c r="K27" s="3">
        <x:v>52</x:v>
      </x:c>
      <x:c r="L27" s="3">
        <x:v>109</x:v>
      </x:c>
      <x:c r="M27" s="3">
        <x:v>190</x:v>
      </x:c>
      <x:c r="N27" s="3">
        <x:v>291</x:v>
      </x:c>
      <x:c r="O27" s="3">
        <x:v>371</x:v>
      </x:c>
      <x:c r="P27" s="3">
        <x:v>361</x:v>
      </x:c>
      <x:c r="Q27" s="3">
        <x:v>610</x:v>
      </x:c>
      <x:c r="R27" s="3">
        <x:v>566</x:v>
      </x:c>
      <x:c r="S27" s="3">
        <x:v>531</x:v>
      </x:c>
      <x:c r="T27" s="3">
        <x:v>0</x:v>
      </x:c>
      <x:c r="U27" s="3">
        <x:v>0</x:v>
      </x:c>
      <x:c r="V27" s="3">
        <x:v>3</x:v>
      </x:c>
      <x:c r="W27" s="3">
        <x:v>1</x:v>
      </x:c>
      <x:c r="X27" s="3">
        <x:v>0</x:v>
      </x:c>
      <x:c r="Y27" s="3">
        <x:v>0</x:v>
      </x:c>
      <x:c r="Z27" s="3">
        <x:v>3</x:v>
      </x:c>
      <x:c r="AA27" s="3">
        <x:v>3</x:v>
      </x:c>
      <x:c r="AB27" s="3">
        <x:v>5</x:v>
      </x:c>
      <x:c r="AC27" s="3">
        <x:v>12</x:v>
      </x:c>
      <x:c r="AD27" s="3">
        <x:v>36</x:v>
      </x:c>
      <x:c r="AE27" s="3">
        <x:v>80</x:v>
      </x:c>
      <x:c r="AF27" s="3">
        <x:v>98</x:v>
      </x:c>
      <x:c r="AG27" s="3">
        <x:v>142</x:v>
      </x:c>
      <x:c r="AH27" s="3">
        <x:v>189</x:v>
      </x:c>
      <x:c r="AJ27" s="3">
        <x:v>462</x:v>
      </x:c>
      <x:c r="AK27" s="3">
        <x:v>561</x:v>
      </x:c>
      <x:c r="AL27" t="n">
        <x:f>Tabelle2[[#This Row],[1 jahre Weiblich]]+Tabelle2[[#This Row],[unter 1 Jahr Männlich]]</x:f>
        <x:v>0</x:v>
      </x:c>
      <x:c r="AM27" t="n">
        <x:f>Tabelle2[[#This Row],[1-15 Jahre Weiblich]]+Tabelle2[[#This Row],[1-15 jahre Mänlich]]</x:f>
        <x:v>7</x:v>
      </x:c>
      <x:c r="AN27" t="n">
        <x:f>Tabelle2[[#This Row],[15-20 Jahre Weiblich]]+Tabelle2[[#This Row],[15-20 jahre Männlich]]</x:f>
        <x:v>1</x:v>
      </x:c>
      <x:c r="AO27" t="n">
        <x:f>Tabelle2[[#This Row],[20-25 jahre weiblich]]+Tabelle2[[#This Row],[20-25 jahre Männlich]]</x:f>
        <x:v>0</x:v>
      </x:c>
      <x:c r="AP27" t="n">
        <x:f>Tabelle2[[#This Row],[25-30 Jahre Weiblich]]+Tabelle2[[#This Row],[25-30 jahre Männlich]]</x:f>
        <x:v>0</x:v>
      </x:c>
      <x:c r="AQ27" t="n">
        <x:f>Tabelle2[[#This Row],[30-35 Jahre Weiblich]]+Tabelle2[[#This Row],[30-35 jahre Männlich]]</x:f>
        <x:v>5</x:v>
      </x:c>
      <x:c r="AR27" t="n">
        <x:f>Tabelle2[[#This Row],[35-40 Jahre Weiblich]]+Tabelle2[[#This Row],[35-40 jahre  Männlich]]</x:f>
        <x:v>12</x:v>
      </x:c>
      <x:c r="AS27" t="n">
        <x:f>Tabelle2[[#This Row],[40-45 Jahre Weiblich]]+Tabelle2[[#This Row],[40-45 jahre Männlich]]</x:f>
        <x:v>17</x:v>
      </x:c>
      <x:c r="AT27" t="n">
        <x:f>Tabelle2[[#This Row],[45-50 Jahre Weiblich]]+Tabelle2[[#This Row],[45-50 jahre Männlich]]</x:f>
        <x:v>64</x:v>
      </x:c>
      <x:c r="AU27" t="n">
        <x:f>Tabelle2[[#This Row],[50-55 Jahre Weiblich]]+Tabelle2[[#This Row],[50-55 jahre Männlich]]</x:f>
        <x:v>145</x:v>
      </x:c>
      <x:c r="AV27" t="n">
        <x:f>Tabelle2[[#This Row],[55-60 Jahre Weiblich]]+Tabelle2[[#This Row],[55-60 jahre Männlich]]</x:f>
        <x:v>270</x:v>
      </x:c>
      <x:c r="AW27" t="n">
        <x:f>Tabelle2[[#This Row],[60-65 Jahre Weiblich]]+Tabelle2[[#This Row],[60-65 jahre Männlich]]</x:f>
        <x:v>389</x:v>
      </x:c>
      <x:c r="AX27" t="n">
        <x:f>Tabelle2[[#This Row],[65-70 Jahre Weiblich]]+Tabelle2[[#This Row],[65-70 Jahre  Männlich]]</x:f>
        <x:v>513</x:v>
      </x:c>
      <x:c r="AY27" t="n">
        <x:f>Tabelle2[[#This Row],[70-75Jahre Weiblich]]+Tabelle2[[#This Row],[70-75 jahre Männlch]]</x:f>
        <x:v>550</x:v>
      </x:c>
      <x:c r="AZ27" t="e">
        <x:f>Tabelle2[[#This Row],[75-80 Jahre Weiblich]]+Tabelle2[[#This Row],[75-80 jahre Männlich]]</x:f>
      </x:c>
      <x:c r="BA27" t="n">
        <x:f>Tabelle2[[#This Row],[80-85 Jahre Weiblich]]+Tabelle2[[#This Row],[80-85 jahre Männlich]]</x:f>
        <x:v>1028</x:v>
      </x:c>
      <x:c r="BB27" t="n">
        <x:f>Tabelle2[[#This Row],[85 und mehr Weiblich]]+Tabelle2[[#This Row],[85 und mehr]]</x:f>
        <x:v>1092</x:v>
      </x:c>
    </x:row>
    <x:row r="28">
      <x:c r="A28" s="1" t="s">
        <x:v>54</x:v>
      </x:c>
      <x:c r="B28" s="2" t="s">
        <x:v>73</x:v>
      </x:c>
      <x:c r="C28" s="3">
        <x:v>0</x:v>
      </x:c>
      <x:c r="D28" s="3">
        <x:v>0</x:v>
      </x:c>
      <x:c r="E28" s="3">
        <x:v>0</x:v>
      </x:c>
      <x:c r="F28" s="3">
        <x:v>0</x:v>
      </x:c>
      <x:c r="G28" s="3">
        <x:v>0</x:v>
      </x:c>
      <x:c r="H28" s="3">
        <x:v>1</x:v>
      </x:c>
      <x:c r="I28" s="3">
        <x:v>3</x:v>
      </x:c>
      <x:c r="J28" s="3">
        <x:v>5</x:v>
      </x:c>
      <x:c r="K28" s="3">
        <x:v>20</x:v>
      </x:c>
      <x:c r="L28" s="3">
        <x:v>62</x:v>
      </x:c>
      <x:c r="M28" s="3">
        <x:v>126</x:v>
      </x:c>
      <x:c r="N28" s="3">
        <x:v>223</x:v>
      </x:c>
      <x:c r="O28" s="3">
        <x:v>298</x:v>
      </x:c>
      <x:c r="P28" s="3">
        <x:v>388</x:v>
      </x:c>
      <x:c r="Q28" s="3">
        <x:v>704</x:v>
      </x:c>
      <x:c r="R28" s="3">
        <x:v>899</x:v>
      </x:c>
      <x:c r="S28" s="3">
        <x:v>1133</x:v>
      </x:c>
      <x:c r="T28" s="3">
        <x:v>0</x:v>
      </x:c>
      <x:c r="U28" s="3">
        <x:v>0</x:v>
      </x:c>
      <x:c r="V28" s="3">
        <x:v>0</x:v>
      </x:c>
      <x:c r="W28" s="3">
        <x:v>0</x:v>
      </x:c>
      <x:c r="X28" s="3">
        <x:v>0</x:v>
      </x:c>
      <x:c r="Y28" s="3">
        <x:v>0</x:v>
      </x:c>
      <x:c r="Z28" s="3">
        <x:v>2</x:v>
      </x:c>
      <x:c r="AA28" s="3">
        <x:v>3</x:v>
      </x:c>
      <x:c r="AB28" s="3">
        <x:v>8</x:v>
      </x:c>
      <x:c r="AC28" s="3">
        <x:v>23</x:v>
      </x:c>
      <x:c r="AD28" s="3">
        <x:v>40</x:v>
      </x:c>
      <x:c r="AE28" s="3">
        <x:v>49</x:v>
      </x:c>
      <x:c r="AF28" s="3">
        <x:v>86</x:v>
      </x:c>
      <x:c r="AG28" s="3">
        <x:v>112</x:v>
      </x:c>
      <x:c r="AH28" s="3">
        <x:v>127</x:v>
      </x:c>
      <x:c r="AJ28" s="3">
        <x:v>384</x:v>
      </x:c>
      <x:c r="AK28" s="3">
        <x:v>705</x:v>
      </x:c>
      <x:c r="AL28" t="n">
        <x:f>Tabelle2[[#This Row],[1 jahre Weiblich]]+Tabelle2[[#This Row],[unter 1 Jahr Männlich]]</x:f>
        <x:v>0</x:v>
      </x:c>
      <x:c r="AM28" t="n">
        <x:f>Tabelle2[[#This Row],[1-15 Jahre Weiblich]]+Tabelle2[[#This Row],[1-15 jahre Mänlich]]</x:f>
        <x:v>0</x:v>
      </x:c>
      <x:c r="AN28" t="n">
        <x:f>Tabelle2[[#This Row],[15-20 Jahre Weiblich]]+Tabelle2[[#This Row],[15-20 jahre Männlich]]</x:f>
        <x:v>0</x:v>
      </x:c>
      <x:c r="AO28" t="n">
        <x:f>Tabelle2[[#This Row],[20-25 jahre weiblich]]+Tabelle2[[#This Row],[20-25 jahre Männlich]]</x:f>
        <x:v>0</x:v>
      </x:c>
      <x:c r="AP28" t="n">
        <x:f>Tabelle2[[#This Row],[25-30 Jahre Weiblich]]+Tabelle2[[#This Row],[25-30 jahre Männlich]]</x:f>
        <x:v>0</x:v>
      </x:c>
      <x:c r="AQ28" t="n">
        <x:f>Tabelle2[[#This Row],[30-35 Jahre Weiblich]]+Tabelle2[[#This Row],[30-35 jahre Männlich]]</x:f>
        <x:v>3</x:v>
      </x:c>
      <x:c r="AR28" t="n">
        <x:f>Tabelle2[[#This Row],[35-40 Jahre Weiblich]]+Tabelle2[[#This Row],[35-40 jahre  Männlich]]</x:f>
        <x:v>6</x:v>
      </x:c>
      <x:c r="AS28" t="n">
        <x:f>Tabelle2[[#This Row],[40-45 Jahre Weiblich]]+Tabelle2[[#This Row],[40-45 jahre Männlich]]</x:f>
        <x:v>13</x:v>
      </x:c>
      <x:c r="AT28" t="n">
        <x:f>Tabelle2[[#This Row],[45-50 Jahre Weiblich]]+Tabelle2[[#This Row],[45-50 jahre Männlich]]</x:f>
        <x:v>43</x:v>
      </x:c>
      <x:c r="AU28" t="n">
        <x:f>Tabelle2[[#This Row],[50-55 Jahre Weiblich]]+Tabelle2[[#This Row],[50-55 jahre Männlich]]</x:f>
        <x:v>102</x:v>
      </x:c>
      <x:c r="AV28" t="n">
        <x:f>Tabelle2[[#This Row],[55-60 Jahre Weiblich]]+Tabelle2[[#This Row],[55-60 jahre Männlich]]</x:f>
        <x:v>175</x:v>
      </x:c>
      <x:c r="AW28" t="n">
        <x:f>Tabelle2[[#This Row],[60-65 Jahre Weiblich]]+Tabelle2[[#This Row],[60-65 jahre Männlich]]</x:f>
        <x:v>309</x:v>
      </x:c>
      <x:c r="AX28" t="n">
        <x:f>Tabelle2[[#This Row],[65-70 Jahre Weiblich]]+Tabelle2[[#This Row],[65-70 Jahre  Männlich]]</x:f>
        <x:v>410</x:v>
      </x:c>
      <x:c r="AY28" t="n">
        <x:f>Tabelle2[[#This Row],[70-75Jahre Weiblich]]+Tabelle2[[#This Row],[70-75 jahre Männlch]]</x:f>
        <x:v>515</x:v>
      </x:c>
      <x:c r="AZ28" t="e">
        <x:f>Tabelle2[[#This Row],[75-80 Jahre Weiblich]]+Tabelle2[[#This Row],[75-80 jahre Männlich]]</x:f>
      </x:c>
      <x:c r="BA28" t="n">
        <x:f>Tabelle2[[#This Row],[80-85 Jahre Weiblich]]+Tabelle2[[#This Row],[80-85 jahre Männlich]]</x:f>
        <x:v>1283</x:v>
      </x:c>
      <x:c r="BB28" t="n">
        <x:f>Tabelle2[[#This Row],[85 und mehr Weiblich]]+Tabelle2[[#This Row],[85 und mehr]]</x:f>
        <x:v>1838</x:v>
      </x:c>
    </x:row>
    <x:row r="29">
      <x:c r="A29" s="1" t="s">
        <x:v>54</x:v>
      </x:c>
      <x:c r="B29" s="2" t="str">
        <x:v>Lymphat. Gewebe</x:v>
      </x:c>
      <x:c r="C29" s="3">
        <x:v>1</x:v>
      </x:c>
      <x:c r="D29" s="3">
        <x:v>45</x:v>
      </x:c>
      <x:c r="E29" s="3">
        <x:v>24</x:v>
      </x:c>
      <x:c r="F29" s="3">
        <x:v>36</x:v>
      </x:c>
      <x:c r="G29" s="3">
        <x:v>35</x:v>
      </x:c>
      <x:c r="H29" s="3">
        <x:v>33</x:v>
      </x:c>
      <x:c r="I29" s="3">
        <x:v>52</x:v>
      </x:c>
      <x:c r="J29" s="3">
        <x:v>65</x:v>
      </x:c>
      <x:c r="K29" s="3">
        <x:v>105</x:v>
      </x:c>
      <x:c r="L29" s="3">
        <x:v>283</x:v>
      </x:c>
      <x:c r="M29" s="3">
        <x:v>441</x:v>
      </x:c>
      <x:c r="N29" s="3">
        <x:v>661</x:v>
      </x:c>
      <x:c r="O29" s="3">
        <x:v>1010</x:v>
      </x:c>
      <x:c r="P29" s="3">
        <x:v>1405</x:v>
      </x:c>
      <x:c r="Q29" s="3">
        <x:v>2423</x:v>
      </x:c>
      <x:c r="R29" s="3">
        <x:v>2402</x:v>
      </x:c>
      <x:c r="S29" s="3">
        <x:v>1952</x:v>
      </x:c>
      <x:c r="T29" s="3">
        <x:v>0</x:v>
      </x:c>
      <x:c r="U29" s="3">
        <x:v>2</x:v>
      </x:c>
      <x:c r="V29" s="3">
        <x:v>26</x:v>
      </x:c>
      <x:c r="W29" s="3">
        <x:v>3</x:v>
      </x:c>
      <x:c r="X29" s="3">
        <x:v>15</x:v>
      </x:c>
      <x:c r="Y29" s="3">
        <x:v>17</x:v>
      </x:c>
      <x:c r="Z29" s="3">
        <x:v>23</x:v>
      </x:c>
      <x:c r="AA29" s="3">
        <x:v>44</x:v>
      </x:c>
      <x:c r="AB29" s="3">
        <x:v>49</x:v>
      </x:c>
      <x:c r="AC29" s="3">
        <x:v>101</x:v>
      </x:c>
      <x:c r="AD29" s="3">
        <x:v>160</x:v>
      </x:c>
      <x:c r="AE29" s="3">
        <x:v>280</x:v>
      </x:c>
      <x:c r="AF29" s="3">
        <x:v>429</x:v>
      </x:c>
      <x:c r="AG29" s="3">
        <x:v>674</x:v>
      </x:c>
      <x:c r="AH29" s="3">
        <x:v>871</x:v>
      </x:c>
      <x:c r="AJ29" s="3">
        <x:v>2070</x:v>
      </x:c>
      <x:c r="AK29" s="3">
        <x:v>2357</x:v>
      </x:c>
      <x:c r="AL29" t="n">
        <x:f>Tabelle2[[#This Row],[1 jahre Weiblich]]+Tabelle2[[#This Row],[unter 1 Jahr Männlich]]</x:f>
        <x:v>3</x:v>
      </x:c>
      <x:c r="AM29" t="n">
        <x:f>Tabelle2[[#This Row],[1-15 Jahre Weiblich]]+Tabelle2[[#This Row],[1-15 jahre Mänlich]]</x:f>
        <x:v>71</x:v>
      </x:c>
      <x:c r="AN29" t="n">
        <x:f>Tabelle2[[#This Row],[15-20 Jahre Weiblich]]+Tabelle2[[#This Row],[15-20 jahre Männlich]]</x:f>
        <x:v>27</x:v>
      </x:c>
      <x:c r="AO29" t="n">
        <x:f>Tabelle2[[#This Row],[20-25 jahre weiblich]]+Tabelle2[[#This Row],[20-25 jahre Männlich]]</x:f>
        <x:v>51</x:v>
      </x:c>
      <x:c r="AP29" t="n">
        <x:f>Tabelle2[[#This Row],[25-30 Jahre Weiblich]]+Tabelle2[[#This Row],[25-30 jahre Männlich]]</x:f>
        <x:v>52</x:v>
      </x:c>
      <x:c r="AQ29" t="n">
        <x:f>Tabelle2[[#This Row],[30-35 Jahre Weiblich]]+Tabelle2[[#This Row],[30-35 jahre Männlich]]</x:f>
        <x:v>56</x:v>
      </x:c>
      <x:c r="AR29" t="n">
        <x:f>Tabelle2[[#This Row],[35-40 Jahre Weiblich]]+Tabelle2[[#This Row],[35-40 jahre  Männlich]]</x:f>
        <x:v>96</x:v>
      </x:c>
      <x:c r="AS29" t="n">
        <x:f>Tabelle2[[#This Row],[40-45 Jahre Weiblich]]+Tabelle2[[#This Row],[40-45 jahre Männlich]]</x:f>
        <x:v>114</x:v>
      </x:c>
      <x:c r="AT29" t="n">
        <x:f>Tabelle2[[#This Row],[45-50 Jahre Weiblich]]+Tabelle2[[#This Row],[45-50 jahre Männlich]]</x:f>
        <x:v>206</x:v>
      </x:c>
      <x:c r="AU29" t="n">
        <x:f>Tabelle2[[#This Row],[50-55 Jahre Weiblich]]+Tabelle2[[#This Row],[50-55 jahre Männlich]]</x:f>
        <x:v>443</x:v>
      </x:c>
      <x:c r="AV29" t="n">
        <x:f>Tabelle2[[#This Row],[55-60 Jahre Weiblich]]+Tabelle2[[#This Row],[55-60 jahre Männlich]]</x:f>
        <x:v>721</x:v>
      </x:c>
      <x:c r="AW29" t="n">
        <x:f>Tabelle2[[#This Row],[60-65 Jahre Weiblich]]+Tabelle2[[#This Row],[60-65 jahre Männlich]]</x:f>
        <x:v>1090</x:v>
      </x:c>
      <x:c r="AX29" t="n">
        <x:f>Tabelle2[[#This Row],[65-70 Jahre Weiblich]]+Tabelle2[[#This Row],[65-70 Jahre  Männlich]]</x:f>
        <x:v>1684</x:v>
      </x:c>
      <x:c r="AY29" t="n">
        <x:f>Tabelle2[[#This Row],[70-75Jahre Weiblich]]+Tabelle2[[#This Row],[70-75 jahre Männlch]]</x:f>
        <x:v>2276</x:v>
      </x:c>
      <x:c r="AZ29" t="e">
        <x:f>Tabelle2[[#This Row],[75-80 Jahre Weiblich]]+Tabelle2[[#This Row],[75-80 jahre Männlich]]</x:f>
      </x:c>
      <x:c r="BA29" t="n">
        <x:f>Tabelle2[[#This Row],[80-85 Jahre Weiblich]]+Tabelle2[[#This Row],[80-85 jahre Männlich]]</x:f>
        <x:v>4472</x:v>
      </x:c>
      <x:c r="BB29" t="n">
        <x:f>Tabelle2[[#This Row],[85 und mehr Weiblich]]+Tabelle2[[#This Row],[85 und mehr]]</x:f>
        <x:v>4309</x:v>
      </x:c>
    </x:row>
    <x:row r="30">
      <x:c r="A30" s="1" t="s">
        <x:v>54</x:v>
      </x:c>
      <x:c r="B30" s="2" t="s">
        <x:v>74</x:v>
      </x:c>
      <x:c r="C30" s="3">
        <x:v>1</x:v>
      </x:c>
      <x:c r="D30" s="3">
        <x:v>38</x:v>
      </x:c>
      <x:c r="E30" s="3">
        <x:v>18</x:v>
      </x:c>
      <x:c r="F30" s="3">
        <x:v>29</x:v>
      </x:c>
      <x:c r="G30" s="3">
        <x:v>17</x:v>
      </x:c>
      <x:c r="H30" s="3">
        <x:v>22</x:v>
      </x:c>
      <x:c r="I30" s="3">
        <x:v>24</x:v>
      </x:c>
      <x:c r="J30" s="3">
        <x:v>28</x:v>
      </x:c>
      <x:c r="K30" s="3">
        <x:v>47</x:v>
      </x:c>
      <x:c r="L30" s="3">
        <x:v>98</x:v>
      </x:c>
      <x:c r="M30" s="3">
        <x:v>175</x:v>
      </x:c>
      <x:c r="N30" s="3">
        <x:v>271</x:v>
      </x:c>
      <x:c r="O30" s="3">
        <x:v>399</x:v>
      </x:c>
      <x:c r="P30" s="3">
        <x:v>581</x:v>
      </x:c>
      <x:c r="Q30" s="3">
        <x:v>1004</x:v>
      </x:c>
      <x:c r="R30" s="3">
        <x:v>962</x:v>
      </x:c>
      <x:c r="S30" s="3">
        <x:v>874</x:v>
      </x:c>
      <x:c r="T30" s="3">
        <x:v>0</x:v>
      </x:c>
      <x:c r="U30" s="3">
        <x:v>2</x:v>
      </x:c>
      <x:c r="V30" s="3">
        <x:v>24</x:v>
      </x:c>
      <x:c r="W30" s="3">
        <x:v>1</x:v>
      </x:c>
      <x:c r="X30" s="3">
        <x:v>12</x:v>
      </x:c>
      <x:c r="Y30" s="3">
        <x:v>13</x:v>
      </x:c>
      <x:c r="Z30" s="3">
        <x:v>19</x:v>
      </x:c>
      <x:c r="AA30" s="3">
        <x:v>31</x:v>
      </x:c>
      <x:c r="AB30" s="3">
        <x:v>31</x:v>
      </x:c>
      <x:c r="AC30" s="3">
        <x:v>46</x:v>
      </x:c>
      <x:c r="AD30" s="3">
        <x:v>66</x:v>
      </x:c>
      <x:c r="AE30" s="3">
        <x:v>118</x:v>
      </x:c>
      <x:c r="AF30" s="3">
        <x:v>177</x:v>
      </x:c>
      <x:c r="AG30" s="3">
        <x:v>251</x:v>
      </x:c>
      <x:c r="AH30" s="3">
        <x:v>356</x:v>
      </x:c>
      <x:c r="AJ30" s="3">
        <x:v>778</x:v>
      </x:c>
      <x:c r="AK30" s="3">
        <x:v>1046</x:v>
      </x:c>
      <x:c r="AL30" t="n">
        <x:f>Tabelle2[[#This Row],[1 jahre Weiblich]]+Tabelle2[[#This Row],[unter 1 Jahr Männlich]]</x:f>
        <x:v>3</x:v>
      </x:c>
      <x:c r="AM30" t="n">
        <x:f>Tabelle2[[#This Row],[1-15 Jahre Weiblich]]+Tabelle2[[#This Row],[1-15 jahre Mänlich]]</x:f>
        <x:v>62</x:v>
      </x:c>
      <x:c r="AN30" t="n">
        <x:f>Tabelle2[[#This Row],[15-20 Jahre Weiblich]]+Tabelle2[[#This Row],[15-20 jahre Männlich]]</x:f>
        <x:v>19</x:v>
      </x:c>
      <x:c r="AO30" t="n">
        <x:f>Tabelle2[[#This Row],[20-25 jahre weiblich]]+Tabelle2[[#This Row],[20-25 jahre Männlich]]</x:f>
        <x:v>41</x:v>
      </x:c>
      <x:c r="AP30" t="n">
        <x:f>Tabelle2[[#This Row],[25-30 Jahre Weiblich]]+Tabelle2[[#This Row],[25-30 jahre Männlich]]</x:f>
        <x:v>30</x:v>
      </x:c>
      <x:c r="AQ30" t="n">
        <x:f>Tabelle2[[#This Row],[30-35 Jahre Weiblich]]+Tabelle2[[#This Row],[30-35 jahre Männlich]]</x:f>
        <x:v>41</x:v>
      </x:c>
      <x:c r="AR30" t="n">
        <x:f>Tabelle2[[#This Row],[35-40 Jahre Weiblich]]+Tabelle2[[#This Row],[35-40 jahre  Männlich]]</x:f>
        <x:v>55</x:v>
      </x:c>
      <x:c r="AS30" t="n">
        <x:f>Tabelle2[[#This Row],[40-45 Jahre Weiblich]]+Tabelle2[[#This Row],[40-45 jahre Männlich]]</x:f>
        <x:v>59</x:v>
      </x:c>
      <x:c r="AT30" t="n">
        <x:f>Tabelle2[[#This Row],[45-50 Jahre Weiblich]]+Tabelle2[[#This Row],[45-50 jahre Männlich]]</x:f>
        <x:v>93</x:v>
      </x:c>
      <x:c r="AU30" t="n">
        <x:f>Tabelle2[[#This Row],[50-55 Jahre Weiblich]]+Tabelle2[[#This Row],[50-55 jahre Männlich]]</x:f>
        <x:v>164</x:v>
      </x:c>
      <x:c r="AV30" t="n">
        <x:f>Tabelle2[[#This Row],[55-60 Jahre Weiblich]]+Tabelle2[[#This Row],[55-60 jahre Männlich]]</x:f>
        <x:v>293</x:v>
      </x:c>
      <x:c r="AW30" t="n">
        <x:f>Tabelle2[[#This Row],[60-65 Jahre Weiblich]]+Tabelle2[[#This Row],[60-65 jahre Männlich]]</x:f>
        <x:v>448</x:v>
      </x:c>
      <x:c r="AX30" t="n">
        <x:f>Tabelle2[[#This Row],[65-70 Jahre Weiblich]]+Tabelle2[[#This Row],[65-70 Jahre  Männlich]]</x:f>
        <x:v>650</x:v>
      </x:c>
      <x:c r="AY30" t="n">
        <x:f>Tabelle2[[#This Row],[70-75Jahre Weiblich]]+Tabelle2[[#This Row],[70-75 jahre Männlch]]</x:f>
        <x:v>937</x:v>
      </x:c>
      <x:c r="AZ30" t="e">
        <x:f>Tabelle2[[#This Row],[75-80 Jahre Weiblich]]+Tabelle2[[#This Row],[75-80 jahre Männlich]]</x:f>
      </x:c>
      <x:c r="BA30" t="n">
        <x:f>Tabelle2[[#This Row],[80-85 Jahre Weiblich]]+Tabelle2[[#This Row],[80-85 jahre Männlich]]</x:f>
        <x:v>1740</x:v>
      </x:c>
      <x:c r="BB30" t="n">
        <x:f>Tabelle2[[#This Row],[85 und mehr Weiblich]]+Tabelle2[[#This Row],[85 und mehr]]</x:f>
        <x:v>1920</x:v>
      </x:c>
    </x:row>
    <x:row r="31">
      <x:c r="A31" s="1" t="s">
        <x:v>54</x:v>
      </x:c>
      <x:c r="B31" s="2" t="s">
        <x:v>75</x:v>
      </x:c>
      <x:c r="C31" s="3">
        <x:v>0</x:v>
      </x:c>
      <x:c r="D31" s="3">
        <x:v>1</x:v>
      </x:c>
      <x:c r="E31" s="3">
        <x:v>0</x:v>
      </x:c>
      <x:c r="F31" s="3">
        <x:v>1</x:v>
      </x:c>
      <x:c r="G31" s="3">
        <x:v>3</x:v>
      </x:c>
      <x:c r="H31" s="3">
        <x:v>1</x:v>
      </x:c>
      <x:c r="I31" s="3">
        <x:v>0</x:v>
      </x:c>
      <x:c r="J31" s="3">
        <x:v>4</x:v>
      </x:c>
      <x:c r="K31" s="3">
        <x:v>6</x:v>
      </x:c>
      <x:c r="L31" s="3">
        <x:v>11</x:v>
      </x:c>
      <x:c r="M31" s="3">
        <x:v>16</x:v>
      </x:c>
      <x:c r="N31" s="3">
        <x:v>16</x:v>
      </x:c>
      <x:c r="O31" s="3">
        <x:v>16</x:v>
      </x:c>
      <x:c r="P31" s="3">
        <x:v>34</x:v>
      </x:c>
      <x:c r="Q31" s="3">
        <x:v>54</x:v>
      </x:c>
      <x:c r="R31" s="3">
        <x:v>65</x:v>
      </x:c>
      <x:c r="S31" s="3">
        <x:v>88</x:v>
      </x:c>
      <x:c r="T31" s="3">
        <x:v>0</x:v>
      </x:c>
      <x:c r="U31" s="3">
        <x:v>0</x:v>
      </x:c>
      <x:c r="V31" s="3">
        <x:v>2</x:v>
      </x:c>
      <x:c r="W31" s="3">
        <x:v>0</x:v>
      </x:c>
      <x:c r="X31" s="3">
        <x:v>0</x:v>
      </x:c>
      <x:c r="Y31" s="3">
        <x:v>1</x:v>
      </x:c>
      <x:c r="Z31" s="3">
        <x:v>2</x:v>
      </x:c>
      <x:c r="AA31" s="3">
        <x:v>1</x:v>
      </x:c>
      <x:c r="AB31" s="3">
        <x:v>5</x:v>
      </x:c>
      <x:c r="AC31" s="3">
        <x:v>3</x:v>
      </x:c>
      <x:c r="AD31" s="3">
        <x:v>13</x:v>
      </x:c>
      <x:c r="AE31" s="3">
        <x:v>9</x:v>
      </x:c>
      <x:c r="AF31" s="3">
        <x:v>20</x:v>
      </x:c>
      <x:c r="AG31" s="3">
        <x:v>25</x:v>
      </x:c>
      <x:c r="AH31" s="3">
        <x:v>35</x:v>
      </x:c>
      <x:c r="AJ31" s="3">
        <x:v>96</x:v>
      </x:c>
      <x:c r="AK31" s="3">
        <x:v>159</x:v>
      </x:c>
      <x:c r="AL31" t="n">
        <x:f>Tabelle2[[#This Row],[1 jahre Weiblich]]+Tabelle2[[#This Row],[unter 1 Jahr Männlich]]</x:f>
        <x:v>0</x:v>
      </x:c>
      <x:c r="AM31" t="n">
        <x:f>Tabelle2[[#This Row],[1-15 Jahre Weiblich]]+Tabelle2[[#This Row],[1-15 jahre Mänlich]]</x:f>
        <x:v>3</x:v>
      </x:c>
      <x:c r="AN31" t="n">
        <x:f>Tabelle2[[#This Row],[15-20 Jahre Weiblich]]+Tabelle2[[#This Row],[15-20 jahre Männlich]]</x:f>
        <x:v>0</x:v>
      </x:c>
      <x:c r="AO31" t="n">
        <x:f>Tabelle2[[#This Row],[20-25 jahre weiblich]]+Tabelle2[[#This Row],[20-25 jahre Männlich]]</x:f>
        <x:v>1</x:v>
      </x:c>
      <x:c r="AP31" t="n">
        <x:f>Tabelle2[[#This Row],[25-30 Jahre Weiblich]]+Tabelle2[[#This Row],[25-30 jahre Männlich]]</x:f>
        <x:v>4</x:v>
      </x:c>
      <x:c r="AQ31" t="n">
        <x:f>Tabelle2[[#This Row],[30-35 Jahre Weiblich]]+Tabelle2[[#This Row],[30-35 jahre Männlich]]</x:f>
        <x:v>3</x:v>
      </x:c>
      <x:c r="AR31" t="n">
        <x:f>Tabelle2[[#This Row],[35-40 Jahre Weiblich]]+Tabelle2[[#This Row],[35-40 jahre  Männlich]]</x:f>
        <x:v>1</x:v>
      </x:c>
      <x:c r="AS31" t="n">
        <x:f>Tabelle2[[#This Row],[40-45 Jahre Weiblich]]+Tabelle2[[#This Row],[40-45 jahre Männlich]]</x:f>
        <x:v>9</x:v>
      </x:c>
      <x:c r="AT31" t="n">
        <x:f>Tabelle2[[#This Row],[45-50 Jahre Weiblich]]+Tabelle2[[#This Row],[45-50 jahre Männlich]]</x:f>
        <x:v>9</x:v>
      </x:c>
      <x:c r="AU31" t="n">
        <x:f>Tabelle2[[#This Row],[50-55 Jahre Weiblich]]+Tabelle2[[#This Row],[50-55 jahre Männlich]]</x:f>
        <x:v>24</x:v>
      </x:c>
      <x:c r="AV31" t="n">
        <x:f>Tabelle2[[#This Row],[55-60 Jahre Weiblich]]+Tabelle2[[#This Row],[55-60 jahre Männlich]]</x:f>
        <x:v>25</x:v>
      </x:c>
      <x:c r="AW31" t="n">
        <x:f>Tabelle2[[#This Row],[60-65 Jahre Weiblich]]+Tabelle2[[#This Row],[60-65 jahre Männlich]]</x:f>
        <x:v>36</x:v>
      </x:c>
      <x:c r="AX31" t="n">
        <x:f>Tabelle2[[#This Row],[65-70 Jahre Weiblich]]+Tabelle2[[#This Row],[65-70 Jahre  Männlich]]</x:f>
        <x:v>41</x:v>
      </x:c>
      <x:c r="AY31" t="n">
        <x:f>Tabelle2[[#This Row],[70-75Jahre Weiblich]]+Tabelle2[[#This Row],[70-75 jahre Männlch]]</x:f>
        <x:v>69</x:v>
      </x:c>
      <x:c r="AZ31" t="e">
        <x:f>Tabelle2[[#This Row],[75-80 Jahre Weiblich]]+Tabelle2[[#This Row],[75-80 jahre Männlich]]</x:f>
      </x:c>
      <x:c r="BA31" t="n">
        <x:f>Tabelle2[[#This Row],[80-85 Jahre Weiblich]]+Tabelle2[[#This Row],[80-85 jahre Männlich]]</x:f>
        <x:v>161</x:v>
      </x:c>
      <x:c r="BB31" t="n">
        <x:f>Tabelle2[[#This Row],[85 und mehr Weiblich]]+Tabelle2[[#This Row],[85 und mehr]]</x:f>
        <x:v>247</x:v>
      </x:c>
    </x:row>
    <x:row r="32">
      <x:c r="A32" s="1" t="s">
        <x:v>54</x:v>
      </x:c>
      <x:c r="B32" s="2" t="s">
        <x:v>76</x:v>
      </x:c>
      <x:c r="C32" s="3">
        <x:v>5</x:v>
      </x:c>
      <x:c r="D32" s="3">
        <x:v>6</x:v>
      </x:c>
      <x:c r="E32" s="3">
        <x:v>5</x:v>
      </x:c>
      <x:c r="F32" s="3">
        <x:v>4</x:v>
      </x:c>
      <x:c r="G32" s="3">
        <x:v>5</x:v>
      </x:c>
      <x:c r="H32" s="3">
        <x:v>12</x:v>
      </x:c>
      <x:c r="I32" s="3">
        <x:v>9</x:v>
      </x:c>
      <x:c r="J32" s="3">
        <x:v>8</x:v>
      </x:c>
      <x:c r="K32" s="3">
        <x:v>30</x:v>
      </x:c>
      <x:c r="L32" s="3">
        <x:v>50</x:v>
      </x:c>
      <x:c r="M32" s="3">
        <x:v>58</x:v>
      </x:c>
      <x:c r="N32" s="3">
        <x:v>104</x:v>
      </x:c>
      <x:c r="O32" s="3">
        <x:v>142</x:v>
      </x:c>
      <x:c r="P32" s="3">
        <x:v>148</x:v>
      </x:c>
      <x:c r="Q32" s="3">
        <x:v>258</x:v>
      </x:c>
      <x:c r="R32" s="3">
        <x:v>311</x:v>
      </x:c>
      <x:c r="S32" s="3">
        <x:v>467</x:v>
      </x:c>
      <x:c r="T32" s="3">
        <x:v>0</x:v>
      </x:c>
      <x:c r="U32" s="3">
        <x:v>2</x:v>
      </x:c>
      <x:c r="V32" s="3">
        <x:v>9</x:v>
      </x:c>
      <x:c r="W32" s="3">
        <x:v>4</x:v>
      </x:c>
      <x:c r="X32" s="3">
        <x:v>3</x:v>
      </x:c>
      <x:c r="Y32" s="3">
        <x:v>5</x:v>
      </x:c>
      <x:c r="Z32" s="3">
        <x:v>7</x:v>
      </x:c>
      <x:c r="AA32" s="3">
        <x:v>9</x:v>
      </x:c>
      <x:c r="AB32" s="3">
        <x:v>13</x:v>
      </x:c>
      <x:c r="AC32" s="3">
        <x:v>21</x:v>
      </x:c>
      <x:c r="AD32" s="3">
        <x:v>28</x:v>
      </x:c>
      <x:c r="AE32" s="3">
        <x:v>39</x:v>
      </x:c>
      <x:c r="AF32" s="3">
        <x:v>61</x:v>
      </x:c>
      <x:c r="AG32" s="3">
        <x:v>99</x:v>
      </x:c>
      <x:c r="AH32" s="3">
        <x:v>132</x:v>
      </x:c>
      <x:c r="AJ32" s="3">
        <x:v>367</x:v>
      </x:c>
      <x:c r="AK32" s="3">
        <x:v>1047</x:v>
      </x:c>
      <x:c r="AL32" t="n">
        <x:f>Tabelle2[[#This Row],[1 jahre Weiblich]]+Tabelle2[[#This Row],[unter 1 Jahr Männlich]]</x:f>
        <x:v>7</x:v>
      </x:c>
      <x:c r="AM32" t="n">
        <x:f>Tabelle2[[#This Row],[1-15 Jahre Weiblich]]+Tabelle2[[#This Row],[1-15 jahre Mänlich]]</x:f>
        <x:v>15</x:v>
      </x:c>
      <x:c r="AN32" t="n">
        <x:f>Tabelle2[[#This Row],[15-20 Jahre Weiblich]]+Tabelle2[[#This Row],[15-20 jahre Männlich]]</x:f>
        <x:v>9</x:v>
      </x:c>
      <x:c r="AO32" t="n">
        <x:f>Tabelle2[[#This Row],[20-25 jahre weiblich]]+Tabelle2[[#This Row],[20-25 jahre Männlich]]</x:f>
        <x:v>7</x:v>
      </x:c>
      <x:c r="AP32" t="n">
        <x:f>Tabelle2[[#This Row],[25-30 Jahre Weiblich]]+Tabelle2[[#This Row],[25-30 jahre Männlich]]</x:f>
        <x:v>10</x:v>
      </x:c>
      <x:c r="AQ32" t="n">
        <x:f>Tabelle2[[#This Row],[30-35 Jahre Weiblich]]+Tabelle2[[#This Row],[30-35 jahre Männlich]]</x:f>
        <x:v>19</x:v>
      </x:c>
      <x:c r="AR32" t="n">
        <x:f>Tabelle2[[#This Row],[35-40 Jahre Weiblich]]+Tabelle2[[#This Row],[35-40 jahre  Männlich]]</x:f>
        <x:v>18</x:v>
      </x:c>
      <x:c r="AS32" t="n">
        <x:f>Tabelle2[[#This Row],[40-45 Jahre Weiblich]]+Tabelle2[[#This Row],[40-45 jahre Männlich]]</x:f>
        <x:v>21</x:v>
      </x:c>
      <x:c r="AT32" t="n">
        <x:f>Tabelle2[[#This Row],[45-50 Jahre Weiblich]]+Tabelle2[[#This Row],[45-50 jahre Männlich]]</x:f>
        <x:v>51</x:v>
      </x:c>
      <x:c r="AU32" t="n">
        <x:f>Tabelle2[[#This Row],[50-55 Jahre Weiblich]]+Tabelle2[[#This Row],[50-55 jahre Männlich]]</x:f>
        <x:v>78</x:v>
      </x:c>
      <x:c r="AV32" t="n">
        <x:f>Tabelle2[[#This Row],[55-60 Jahre Weiblich]]+Tabelle2[[#This Row],[55-60 jahre Männlich]]</x:f>
        <x:v>97</x:v>
      </x:c>
      <x:c r="AW32" t="n">
        <x:f>Tabelle2[[#This Row],[60-65 Jahre Weiblich]]+Tabelle2[[#This Row],[60-65 jahre Männlich]]</x:f>
        <x:v>165</x:v>
      </x:c>
      <x:c r="AX32" t="n">
        <x:f>Tabelle2[[#This Row],[65-70 Jahre Weiblich]]+Tabelle2[[#This Row],[65-70 Jahre  Männlich]]</x:f>
        <x:v>241</x:v>
      </x:c>
      <x:c r="AY32" t="n">
        <x:f>Tabelle2[[#This Row],[70-75Jahre Weiblich]]+Tabelle2[[#This Row],[70-75 jahre Männlch]]</x:f>
        <x:v>280</x:v>
      </x:c>
      <x:c r="AZ32" t="e">
        <x:f>Tabelle2[[#This Row],[75-80 Jahre Weiblich]]+Tabelle2[[#This Row],[75-80 jahre Männlich]]</x:f>
      </x:c>
      <x:c r="BA32" t="n">
        <x:f>Tabelle2[[#This Row],[80-85 Jahre Weiblich]]+Tabelle2[[#This Row],[80-85 jahre Männlich]]</x:f>
        <x:v>678</x:v>
      </x:c>
      <x:c r="BB32" t="n">
        <x:f>Tabelle2[[#This Row],[85 und mehr Weiblich]]+Tabelle2[[#This Row],[85 und mehr]]</x:f>
        <x:v>1514</x:v>
      </x:c>
    </x:row>
    <x:row r="33">
      <x:c r="A33" s="1" t="s">
        <x:v>54</x:v>
      </x:c>
      <x:c r="B33" s="2" t="str">
        <x:v>Endokrin / Stoffwechsel</x:v>
      </x:c>
      <x:c r="C33" s="3">
        <x:v>14</x:v>
      </x:c>
      <x:c r="D33" s="3">
        <x:v>32</x:v>
      </x:c>
      <x:c r="E33" s="3">
        <x:v>21</x:v>
      </x:c>
      <x:c r="F33" s="3">
        <x:v>30</x:v>
      </x:c>
      <x:c r="G33" s="3">
        <x:v>26</x:v>
      </x:c>
      <x:c r="H33" s="3">
        <x:v>51</x:v>
      </x:c>
      <x:c r="I33" s="3">
        <x:v>75</x:v>
      </x:c>
      <x:c r="J33" s="3">
        <x:v>122</x:v>
      </x:c>
      <x:c r="K33" s="3">
        <x:v>243</x:v>
      </x:c>
      <x:c r="L33" s="3">
        <x:v>444</x:v>
      </x:c>
      <x:c r="M33" s="3">
        <x:v>723</x:v>
      </x:c>
      <x:c r="N33" s="3">
        <x:v>931</x:v>
      </x:c>
      <x:c r="O33" s="3">
        <x:v>1349</x:v>
      </x:c>
      <x:c r="P33" s="3">
        <x:v>1406</x:v>
      </x:c>
      <x:c r="Q33" s="3">
        <x:v>2573</x:v>
      </x:c>
      <x:c r="R33" s="3">
        <x:v>3207</x:v>
      </x:c>
      <x:c r="S33" s="3">
        <x:v>4349</x:v>
      </x:c>
      <x:c r="T33" s="3">
        <x:v>0</x:v>
      </x:c>
      <x:c r="U33" s="3">
        <x:v>13</x:v>
      </x:c>
      <x:c r="V33" s="3">
        <x:v>19</x:v>
      </x:c>
      <x:c r="W33" s="3">
        <x:v>7</x:v>
      </x:c>
      <x:c r="X33" s="3">
        <x:v>12</x:v>
      </x:c>
      <x:c r="Y33" s="3">
        <x:v>23</x:v>
      </x:c>
      <x:c r="Z33" s="3">
        <x:v>25</x:v>
      </x:c>
      <x:c r="AA33" s="3">
        <x:v>31</x:v>
      </x:c>
      <x:c r="AB33" s="3">
        <x:v>55</x:v>
      </x:c>
      <x:c r="AC33" s="3">
        <x:v>120</x:v>
      </x:c>
      <x:c r="AD33" s="3">
        <x:v>212</x:v>
      </x:c>
      <x:c r="AE33" s="3">
        <x:v>297</x:v>
      </x:c>
      <x:c r="AF33" s="3">
        <x:v>485</x:v>
      </x:c>
      <x:c r="AG33" s="3">
        <x:v>765</x:v>
      </x:c>
      <x:c r="AH33" s="3">
        <x:v>922</x:v>
      </x:c>
      <x:c r="AJ33" s="3">
        <x:v>3682</x:v>
      </x:c>
      <x:c r="AK33" s="3">
        <x:v>10164</x:v>
      </x:c>
      <x:c r="AL33" t="n">
        <x:f>Tabelle2[[#This Row],[1 jahre Weiblich]]+Tabelle2[[#This Row],[unter 1 Jahr Männlich]]</x:f>
        <x:v>27</x:v>
      </x:c>
      <x:c r="AM33" t="n">
        <x:f>Tabelle2[[#This Row],[1-15 Jahre Weiblich]]+Tabelle2[[#This Row],[1-15 jahre Mänlich]]</x:f>
        <x:v>51</x:v>
      </x:c>
      <x:c r="AN33" t="n">
        <x:f>Tabelle2[[#This Row],[15-20 Jahre Weiblich]]+Tabelle2[[#This Row],[15-20 jahre Männlich]]</x:f>
        <x:v>28</x:v>
      </x:c>
      <x:c r="AO33" t="n">
        <x:f>Tabelle2[[#This Row],[20-25 jahre weiblich]]+Tabelle2[[#This Row],[20-25 jahre Männlich]]</x:f>
        <x:v>42</x:v>
      </x:c>
      <x:c r="AP33" t="n">
        <x:f>Tabelle2[[#This Row],[25-30 Jahre Weiblich]]+Tabelle2[[#This Row],[25-30 jahre Männlich]]</x:f>
        <x:v>49</x:v>
      </x:c>
      <x:c r="AQ33" t="n">
        <x:f>Tabelle2[[#This Row],[30-35 Jahre Weiblich]]+Tabelle2[[#This Row],[30-35 jahre Männlich]]</x:f>
        <x:v>76</x:v>
      </x:c>
      <x:c r="AR33" t="n">
        <x:f>Tabelle2[[#This Row],[35-40 Jahre Weiblich]]+Tabelle2[[#This Row],[35-40 jahre  Männlich]]</x:f>
        <x:v>106</x:v>
      </x:c>
      <x:c r="AS33" t="n">
        <x:f>Tabelle2[[#This Row],[40-45 Jahre Weiblich]]+Tabelle2[[#This Row],[40-45 jahre Männlich]]</x:f>
        <x:v>177</x:v>
      </x:c>
      <x:c r="AT33" t="n">
        <x:f>Tabelle2[[#This Row],[45-50 Jahre Weiblich]]+Tabelle2[[#This Row],[45-50 jahre Männlich]]</x:f>
        <x:v>363</x:v>
      </x:c>
      <x:c r="AU33" t="n">
        <x:f>Tabelle2[[#This Row],[50-55 Jahre Weiblich]]+Tabelle2[[#This Row],[50-55 jahre Männlich]]</x:f>
        <x:v>656</x:v>
      </x:c>
      <x:c r="AV33" t="n">
        <x:f>Tabelle2[[#This Row],[55-60 Jahre Weiblich]]+Tabelle2[[#This Row],[55-60 jahre Männlich]]</x:f>
        <x:v>1020</x:v>
      </x:c>
      <x:c r="AW33" t="n">
        <x:f>Tabelle2[[#This Row],[60-65 Jahre Weiblich]]+Tabelle2[[#This Row],[60-65 jahre Männlich]]</x:f>
        <x:v>1416</x:v>
      </x:c>
      <x:c r="AX33" t="n">
        <x:f>Tabelle2[[#This Row],[65-70 Jahre Weiblich]]+Tabelle2[[#This Row],[65-70 Jahre  Männlich]]</x:f>
        <x:v>2114</x:v>
      </x:c>
      <x:c r="AY33" t="n">
        <x:f>Tabelle2[[#This Row],[70-75Jahre Weiblich]]+Tabelle2[[#This Row],[70-75 jahre Männlch]]</x:f>
        <x:v>2328</x:v>
      </x:c>
      <x:c r="AZ33" t="e">
        <x:f>Tabelle2[[#This Row],[75-80 Jahre Weiblich]]+Tabelle2[[#This Row],[75-80 jahre Männlich]]</x:f>
      </x:c>
      <x:c r="BA33" t="n">
        <x:f>Tabelle2[[#This Row],[80-85 Jahre Weiblich]]+Tabelle2[[#This Row],[80-85 jahre Männlich]]</x:f>
        <x:v>6889</x:v>
      </x:c>
      <x:c r="BB33" t="n">
        <x:f>Tabelle2[[#This Row],[85 und mehr Weiblich]]+Tabelle2[[#This Row],[85 und mehr]]</x:f>
        <x:v>14513</x:v>
      </x:c>
    </x:row>
    <x:row r="34">
      <x:c r="A34" s="1" t="s">
        <x:v>54</x:v>
      </x:c>
      <x:c r="B34" s="2" t="s">
        <x:v>77</x:v>
      </x:c>
      <x:c r="C34" s="3">
        <x:v>0</x:v>
      </x:c>
      <x:c r="D34" s="3">
        <x:v>0</x:v>
      </x:c>
      <x:c r="E34" s="3">
        <x:v>9</x:v>
      </x:c>
      <x:c r="F34" s="3">
        <x:v>9</x:v>
      </x:c>
      <x:c r="G34" s="3">
        <x:v>7</x:v>
      </x:c>
      <x:c r="H34" s="3">
        <x:v>16</x:v>
      </x:c>
      <x:c r="I34" s="3">
        <x:v>33</x:v>
      </x:c>
      <x:c r="J34" s="3">
        <x:v>57</x:v>
      </x:c>
      <x:c r="K34" s="3">
        <x:v>140</x:v>
      </x:c>
      <x:c r="L34" s="3">
        <x:v>282</x:v>
      </x:c>
      <x:c r="M34" s="3">
        <x:v>464</x:v>
      </x:c>
      <x:c r="N34" s="3">
        <x:v>647</x:v>
      </x:c>
      <x:c r="O34" s="3">
        <x:v>1029</x:v>
      </x:c>
      <x:c r="P34" s="3">
        <x:v>1096</x:v>
      </x:c>
      <x:c r="Q34" s="3">
        <x:v>1997</x:v>
      </x:c>
      <x:c r="R34" s="3">
        <x:v>2610</x:v>
      </x:c>
      <x:c r="S34" s="3">
        <x:v>3256</x:v>
      </x:c>
      <x:c r="T34" s="3">
        <x:v>0</x:v>
      </x:c>
      <x:c r="U34" s="3">
        <x:v>1</x:v>
      </x:c>
      <x:c r="V34" s="3">
        <x:v>1</x:v>
      </x:c>
      <x:c r="W34" s="3">
        <x:v>2</x:v>
      </x:c>
      <x:c r="X34" s="3">
        <x:v>5</x:v>
      </x:c>
      <x:c r="Y34" s="3">
        <x:v>8</x:v>
      </x:c>
      <x:c r="Z34" s="3">
        <x:v>6</x:v>
      </x:c>
      <x:c r="AA34" s="3">
        <x:v>8</x:v>
      </x:c>
      <x:c r="AB34" s="3">
        <x:v>21</x:v>
      </x:c>
      <x:c r="AC34" s="3">
        <x:v>53</x:v>
      </x:c>
      <x:c r="AD34" s="3">
        <x:v>109</x:v>
      </x:c>
      <x:c r="AE34" s="3">
        <x:v>164</x:v>
      </x:c>
      <x:c r="AF34" s="3">
        <x:v>285</x:v>
      </x:c>
      <x:c r="AG34" s="3">
        <x:v>499</x:v>
      </x:c>
      <x:c r="AH34" s="3">
        <x:v>630</x:v>
      </x:c>
      <x:c r="AJ34" s="3">
        <x:v>2754</x:v>
      </x:c>
      <x:c r="AK34" s="3">
        <x:v>7085</x:v>
      </x:c>
      <x:c r="AL34" t="n">
        <x:f>Tabelle2[[#This Row],[1 jahre Weiblich]]+Tabelle2[[#This Row],[unter 1 Jahr Männlich]]</x:f>
        <x:v>1</x:v>
      </x:c>
      <x:c r="AM34" t="n">
        <x:f>Tabelle2[[#This Row],[1-15 Jahre Weiblich]]+Tabelle2[[#This Row],[1-15 jahre Mänlich]]</x:f>
        <x:v>1</x:v>
      </x:c>
      <x:c r="AN34" t="n">
        <x:f>Tabelle2[[#This Row],[15-20 Jahre Weiblich]]+Tabelle2[[#This Row],[15-20 jahre Männlich]]</x:f>
        <x:v>11</x:v>
      </x:c>
      <x:c r="AO34" t="n">
        <x:f>Tabelle2[[#This Row],[20-25 jahre weiblich]]+Tabelle2[[#This Row],[20-25 jahre Männlich]]</x:f>
        <x:v>14</x:v>
      </x:c>
      <x:c r="AP34" t="n">
        <x:f>Tabelle2[[#This Row],[25-30 Jahre Weiblich]]+Tabelle2[[#This Row],[25-30 jahre Männlich]]</x:f>
        <x:v>15</x:v>
      </x:c>
      <x:c r="AQ34" t="n">
        <x:f>Tabelle2[[#This Row],[30-35 Jahre Weiblich]]+Tabelle2[[#This Row],[30-35 jahre Männlich]]</x:f>
        <x:v>22</x:v>
      </x:c>
      <x:c r="AR34" t="n">
        <x:f>Tabelle2[[#This Row],[35-40 Jahre Weiblich]]+Tabelle2[[#This Row],[35-40 jahre  Männlich]]</x:f>
        <x:v>41</x:v>
      </x:c>
      <x:c r="AS34" t="n">
        <x:f>Tabelle2[[#This Row],[40-45 Jahre Weiblich]]+Tabelle2[[#This Row],[40-45 jahre Männlich]]</x:f>
        <x:v>78</x:v>
      </x:c>
      <x:c r="AT34" t="n">
        <x:f>Tabelle2[[#This Row],[45-50 Jahre Weiblich]]+Tabelle2[[#This Row],[45-50 jahre Männlich]]</x:f>
        <x:v>193</x:v>
      </x:c>
      <x:c r="AU34" t="n">
        <x:f>Tabelle2[[#This Row],[50-55 Jahre Weiblich]]+Tabelle2[[#This Row],[50-55 jahre Männlich]]</x:f>
        <x:v>391</x:v>
      </x:c>
      <x:c r="AV34" t="n">
        <x:f>Tabelle2[[#This Row],[55-60 Jahre Weiblich]]+Tabelle2[[#This Row],[55-60 jahre Männlich]]</x:f>
        <x:v>628</x:v>
      </x:c>
      <x:c r="AW34" t="n">
        <x:f>Tabelle2[[#This Row],[60-65 Jahre Weiblich]]+Tabelle2[[#This Row],[60-65 jahre Männlich]]</x:f>
        <x:v>932</x:v>
      </x:c>
      <x:c r="AX34" t="n">
        <x:f>Tabelle2[[#This Row],[65-70 Jahre Weiblich]]+Tabelle2[[#This Row],[65-70 Jahre  Männlich]]</x:f>
        <x:v>1528</x:v>
      </x:c>
      <x:c r="AY34" t="n">
        <x:f>Tabelle2[[#This Row],[70-75Jahre Weiblich]]+Tabelle2[[#This Row],[70-75 jahre Männlch]]</x:f>
        <x:v>1726</x:v>
      </x:c>
      <x:c r="AZ34" t="e">
        <x:f>Tabelle2[[#This Row],[75-80 Jahre Weiblich]]+Tabelle2[[#This Row],[75-80 jahre Männlich]]</x:f>
      </x:c>
      <x:c r="BA34" t="n">
        <x:f>Tabelle2[[#This Row],[80-85 Jahre Weiblich]]+Tabelle2[[#This Row],[80-85 jahre Männlich]]</x:f>
        <x:v>5364</x:v>
      </x:c>
      <x:c r="BB34" t="n">
        <x:f>Tabelle2[[#This Row],[85 und mehr Weiblich]]+Tabelle2[[#This Row],[85 und mehr]]</x:f>
        <x:v>10341</x:v>
      </x:c>
    </x:row>
    <x:row r="35">
      <x:c r="A35" s="1" t="s">
        <x:v>54</x:v>
      </x:c>
      <x:c r="B35" s="2" t="str">
        <x:v>Psych. Störungen</x:v>
      </x:c>
      <x:c r="C35" s="3">
        <x:v>0</x:v>
      </x:c>
      <x:c r="D35" s="3">
        <x:v>3</x:v>
      </x:c>
      <x:c r="E35" s="3">
        <x:v>4</x:v>
      </x:c>
      <x:c r="F35" s="3">
        <x:v>25</x:v>
      </x:c>
      <x:c r="G35" s="3">
        <x:v>43</x:v>
      </x:c>
      <x:c r="H35" s="3">
        <x:v>107</x:v>
      </x:c>
      <x:c r="I35" s="3">
        <x:v>155</x:v>
      </x:c>
      <x:c r="J35" s="3">
        <x:v>263</x:v>
      </x:c>
      <x:c r="K35" s="3">
        <x:v>351</x:v>
      </x:c>
      <x:c r="L35" s="3">
        <x:v>642</x:v>
      </x:c>
      <x:c r="M35" s="3">
        <x:v>856</x:v>
      </x:c>
      <x:c r="N35" s="3">
        <x:v>904</x:v>
      </x:c>
      <x:c r="O35" s="3">
        <x:v>984</x:v>
      </x:c>
      <x:c r="P35" s="3">
        <x:v>1170</x:v>
      </x:c>
      <x:c r="Q35" s="3">
        <x:v>2831</x:v>
      </x:c>
      <x:c r="R35" s="3">
        <x:v>4530</x:v>
      </x:c>
      <x:c r="S35" s="3">
        <x:v>8858</x:v>
      </x:c>
      <x:c r="T35" s="3">
        <x:v>0</x:v>
      </x:c>
      <x:c r="U35" s="3">
        <x:v>1</x:v>
      </x:c>
      <x:c r="V35" s="3">
        <x:v>4</x:v>
      </x:c>
      <x:c r="W35" s="3">
        <x:v>7</x:v>
      </x:c>
      <x:c r="X35" s="3">
        <x:v>9</x:v>
      </x:c>
      <x:c r="Y35" s="3">
        <x:v>15</x:v>
      </x:c>
      <x:c r="Z35" s="3">
        <x:v>41</x:v>
      </x:c>
      <x:c r="AA35" s="3">
        <x:v>40</x:v>
      </x:c>
      <x:c r="AB35" s="3">
        <x:v>68</x:v>
      </x:c>
      <x:c r="AC35" s="3">
        <x:v>102</x:v>
      </x:c>
      <x:c r="AD35" s="3">
        <x:v>175</x:v>
      </x:c>
      <x:c r="AE35" s="3">
        <x:v>269</x:v>
      </x:c>
      <x:c r="AF35" s="3">
        <x:v>284</x:v>
      </x:c>
      <x:c r="AG35" s="3">
        <x:v>453</x:v>
      </x:c>
      <x:c r="AH35" s="3">
        <x:v>825</x:v>
      </x:c>
      <x:c r="AJ35" s="3">
        <x:v>6160</x:v>
      </x:c>
      <x:c r="AK35" s="3">
        <x:v>25038</x:v>
      </x:c>
      <x:c r="AL35" t="n">
        <x:f>Tabelle2[[#This Row],[1 jahre Weiblich]]+Tabelle2[[#This Row],[unter 1 Jahr Männlich]]</x:f>
        <x:v>1</x:v>
      </x:c>
      <x:c r="AM35" t="n">
        <x:f>Tabelle2[[#This Row],[1-15 Jahre Weiblich]]+Tabelle2[[#This Row],[1-15 jahre Mänlich]]</x:f>
        <x:v>7</x:v>
      </x:c>
      <x:c r="AN35" t="n">
        <x:f>Tabelle2[[#This Row],[15-20 Jahre Weiblich]]+Tabelle2[[#This Row],[15-20 jahre Männlich]]</x:f>
        <x:v>11</x:v>
      </x:c>
      <x:c r="AO35" t="n">
        <x:f>Tabelle2[[#This Row],[20-25 jahre weiblich]]+Tabelle2[[#This Row],[20-25 jahre Männlich]]</x:f>
        <x:v>34</x:v>
      </x:c>
      <x:c r="AP35" t="n">
        <x:f>Tabelle2[[#This Row],[25-30 Jahre Weiblich]]+Tabelle2[[#This Row],[25-30 jahre Männlich]]</x:f>
        <x:v>58</x:v>
      </x:c>
      <x:c r="AQ35" t="n">
        <x:f>Tabelle2[[#This Row],[30-35 Jahre Weiblich]]+Tabelle2[[#This Row],[30-35 jahre Männlich]]</x:f>
        <x:v>148</x:v>
      </x:c>
      <x:c r="AR35" t="n">
        <x:f>Tabelle2[[#This Row],[35-40 Jahre Weiblich]]+Tabelle2[[#This Row],[35-40 jahre  Männlich]]</x:f>
        <x:v>195</x:v>
      </x:c>
      <x:c r="AS35" t="n">
        <x:f>Tabelle2[[#This Row],[40-45 Jahre Weiblich]]+Tabelle2[[#This Row],[40-45 jahre Männlich]]</x:f>
        <x:v>331</x:v>
      </x:c>
      <x:c r="AT35" t="n">
        <x:f>Tabelle2[[#This Row],[45-50 Jahre Weiblich]]+Tabelle2[[#This Row],[45-50 jahre Männlich]]</x:f>
        <x:v>453</x:v>
      </x:c>
      <x:c r="AU35" t="n">
        <x:f>Tabelle2[[#This Row],[50-55 Jahre Weiblich]]+Tabelle2[[#This Row],[50-55 jahre Männlich]]</x:f>
        <x:v>817</x:v>
      </x:c>
      <x:c r="AV35" t="n">
        <x:f>Tabelle2[[#This Row],[55-60 Jahre Weiblich]]+Tabelle2[[#This Row],[55-60 jahre Männlich]]</x:f>
        <x:v>1125</x:v>
      </x:c>
      <x:c r="AW35" t="n">
        <x:f>Tabelle2[[#This Row],[60-65 Jahre Weiblich]]+Tabelle2[[#This Row],[60-65 jahre Männlich]]</x:f>
        <x:v>1188</x:v>
      </x:c>
      <x:c r="AX35" t="n">
        <x:f>Tabelle2[[#This Row],[65-70 Jahre Weiblich]]+Tabelle2[[#This Row],[65-70 Jahre  Männlich]]</x:f>
        <x:v>1437</x:v>
      </x:c>
      <x:c r="AY35" t="n">
        <x:f>Tabelle2[[#This Row],[70-75Jahre Weiblich]]+Tabelle2[[#This Row],[70-75 jahre Männlch]]</x:f>
        <x:v>1995</x:v>
      </x:c>
      <x:c r="AZ35" t="e">
        <x:f>Tabelle2[[#This Row],[75-80 Jahre Weiblich]]+Tabelle2[[#This Row],[75-80 jahre Männlich]]</x:f>
      </x:c>
      <x:c r="BA35" t="n">
        <x:f>Tabelle2[[#This Row],[80-85 Jahre Weiblich]]+Tabelle2[[#This Row],[80-85 jahre Männlich]]</x:f>
        <x:v>10690</x:v>
      </x:c>
      <x:c r="BB35" t="n">
        <x:f>Tabelle2[[#This Row],[85 und mehr Weiblich]]+Tabelle2[[#This Row],[85 und mehr]]</x:f>
        <x:v>33896</x:v>
      </x:c>
    </x:row>
    <x:row r="36">
      <x:c r="A36" s="1" t="s">
        <x:v>54</x:v>
      </x:c>
      <x:c r="B36" s="2" t="s">
        <x:v>78</x:v>
      </x:c>
      <x:c r="C36" s="3">
        <x:v>0</x:v>
      </x:c>
      <x:c r="D36" s="3">
        <x:v>0</x:v>
      </x:c>
      <x:c r="E36" s="3">
        <x:v>0</x:v>
      </x:c>
      <x:c r="F36" s="3">
        <x:v>4</x:v>
      </x:c>
      <x:c r="G36" s="3">
        <x:v>8</x:v>
      </x:c>
      <x:c r="H36" s="3">
        <x:v>41</x:v>
      </x:c>
      <x:c r="I36" s="3">
        <x:v>67</x:v>
      </x:c>
      <x:c r="J36" s="3">
        <x:v>146</x:v>
      </x:c>
      <x:c r="K36" s="3">
        <x:v>244</x:v>
      </x:c>
      <x:c r="L36" s="3">
        <x:v>480</x:v>
      </x:c>
      <x:c r="M36" s="3">
        <x:v>678</x:v>
      </x:c>
      <x:c r="N36" s="3">
        <x:v>707</x:v>
      </x:c>
      <x:c r="O36" s="3">
        <x:v>633</x:v>
      </x:c>
      <x:c r="P36" s="3">
        <x:v>343</x:v>
      </x:c>
      <x:c r="Q36" s="3">
        <x:v>344</x:v>
      </x:c>
      <x:c r="R36" s="3">
        <x:v>206</x:v>
      </x:c>
      <x:c r="S36" s="3">
        <x:v>91</x:v>
      </x:c>
      <x:c r="T36" s="3">
        <x:v>0</x:v>
      </x:c>
      <x:c r="U36" s="3">
        <x:v>0</x:v>
      </x:c>
      <x:c r="V36" s="3">
        <x:v>0</x:v>
      </x:c>
      <x:c r="W36" s="3">
        <x:v>0</x:v>
      </x:c>
      <x:c r="X36" s="3">
        <x:v>1</x:v>
      </x:c>
      <x:c r="Y36" s="3">
        <x:v>2</x:v>
      </x:c>
      <x:c r="Z36" s="3">
        <x:v>8</x:v>
      </x:c>
      <x:c r="AA36" s="3">
        <x:v>10</x:v>
      </x:c>
      <x:c r="AB36" s="3">
        <x:v>34</x:v>
      </x:c>
      <x:c r="AC36" s="3">
        <x:v>53</x:v>
      </x:c>
      <x:c r="AD36" s="3">
        <x:v>93</x:v>
      </x:c>
      <x:c r="AE36" s="3">
        <x:v>178</x:v>
      </x:c>
      <x:c r="AF36" s="3">
        <x:v>166</x:v>
      </x:c>
      <x:c r="AG36" s="3">
        <x:v>154</x:v>
      </x:c>
      <x:c r="AH36" s="3">
        <x:v>115</x:v>
      </x:c>
      <x:c r="AJ36" s="3">
        <x:v>86</x:v>
      </x:c>
      <x:c r="AK36" s="3">
        <x:v>75</x:v>
      </x:c>
      <x:c r="AL36" t="n">
        <x:f>Tabelle2[[#This Row],[1 jahre Weiblich]]+Tabelle2[[#This Row],[unter 1 Jahr Männlich]]</x:f>
        <x:v>0</x:v>
      </x:c>
      <x:c r="AM36" t="n">
        <x:f>Tabelle2[[#This Row],[1-15 Jahre Weiblich]]+Tabelle2[[#This Row],[1-15 jahre Mänlich]]</x:f>
        <x:v>0</x:v>
      </x:c>
      <x:c r="AN36" t="n">
        <x:f>Tabelle2[[#This Row],[15-20 Jahre Weiblich]]+Tabelle2[[#This Row],[15-20 jahre Männlich]]</x:f>
        <x:v>0</x:v>
      </x:c>
      <x:c r="AO36" t="n">
        <x:f>Tabelle2[[#This Row],[20-25 jahre weiblich]]+Tabelle2[[#This Row],[20-25 jahre Männlich]]</x:f>
        <x:v>5</x:v>
      </x:c>
      <x:c r="AP36" t="n">
        <x:f>Tabelle2[[#This Row],[25-30 Jahre Weiblich]]+Tabelle2[[#This Row],[25-30 jahre Männlich]]</x:f>
        <x:v>10</x:v>
      </x:c>
      <x:c r="AQ36" t="n">
        <x:f>Tabelle2[[#This Row],[30-35 Jahre Weiblich]]+Tabelle2[[#This Row],[30-35 jahre Männlich]]</x:f>
        <x:v>49</x:v>
      </x:c>
      <x:c r="AR36" t="n">
        <x:f>Tabelle2[[#This Row],[35-40 Jahre Weiblich]]+Tabelle2[[#This Row],[35-40 jahre  Männlich]]</x:f>
        <x:v>77</x:v>
      </x:c>
      <x:c r="AS36" t="n">
        <x:f>Tabelle2[[#This Row],[40-45 Jahre Weiblich]]+Tabelle2[[#This Row],[40-45 jahre Männlich]]</x:f>
        <x:v>180</x:v>
      </x:c>
      <x:c r="AT36" t="n">
        <x:f>Tabelle2[[#This Row],[45-50 Jahre Weiblich]]+Tabelle2[[#This Row],[45-50 jahre Männlich]]</x:f>
        <x:v>297</x:v>
      </x:c>
      <x:c r="AU36" t="n">
        <x:f>Tabelle2[[#This Row],[50-55 Jahre Weiblich]]+Tabelle2[[#This Row],[50-55 jahre Männlich]]</x:f>
        <x:v>573</x:v>
      </x:c>
      <x:c r="AV36" t="n">
        <x:f>Tabelle2[[#This Row],[55-60 Jahre Weiblich]]+Tabelle2[[#This Row],[55-60 jahre Männlich]]</x:f>
        <x:v>856</x:v>
      </x:c>
      <x:c r="AW36" t="n">
        <x:f>Tabelle2[[#This Row],[60-65 Jahre Weiblich]]+Tabelle2[[#This Row],[60-65 jahre Männlich]]</x:f>
        <x:v>873</x:v>
      </x:c>
      <x:c r="AX36" t="n">
        <x:f>Tabelle2[[#This Row],[65-70 Jahre Weiblich]]+Tabelle2[[#This Row],[65-70 Jahre  Männlich]]</x:f>
        <x:v>787</x:v>
      </x:c>
      <x:c r="AY36" t="n">
        <x:f>Tabelle2[[#This Row],[70-75Jahre Weiblich]]+Tabelle2[[#This Row],[70-75 jahre Männlch]]</x:f>
        <x:v>458</x:v>
      </x:c>
      <x:c r="AZ36" t="e">
        <x:f>Tabelle2[[#This Row],[75-80 Jahre Weiblich]]+Tabelle2[[#This Row],[75-80 jahre Männlich]]</x:f>
      </x:c>
      <x:c r="BA36" t="n">
        <x:f>Tabelle2[[#This Row],[80-85 Jahre Weiblich]]+Tabelle2[[#This Row],[80-85 jahre Männlich]]</x:f>
        <x:v>292</x:v>
      </x:c>
      <x:c r="BB36" t="n">
        <x:f>Tabelle2[[#This Row],[85 und mehr Weiblich]]+Tabelle2[[#This Row],[85 und mehr]]</x:f>
        <x:v>166</x:v>
      </x:c>
    </x:row>
    <x:row r="37">
      <x:c r="A37" s="1" t="s">
        <x:v>54</x:v>
      </x:c>
      <x:c r="B37" s="2" t="s">
        <x:v>79</x:v>
      </x:c>
      <x:c r="C37" s="3">
        <x:v>0</x:v>
      </x:c>
      <x:c r="D37" s="3">
        <x:v>0</x:v>
      </x:c>
      <x:c r="E37" s="3">
        <x:v>4</x:v>
      </x:c>
      <x:c r="F37" s="3">
        <x:v>15</x:v>
      </x:c>
      <x:c r="G37" s="3">
        <x:v>27</x:v>
      </x:c>
      <x:c r="H37" s="3">
        <x:v>53</x:v>
      </x:c>
      <x:c r="I37" s="3">
        <x:v>79</x:v>
      </x:c>
      <x:c r="J37" s="3">
        <x:v>93</x:v>
      </x:c>
      <x:c r="K37" s="3">
        <x:v>80</x:v>
      </x:c>
      <x:c r="L37" s="3">
        <x:v>81</x:v>
      </x:c>
      <x:c r="M37" s="3">
        <x:v>61</x:v>
      </x:c>
      <x:c r="N37" s="3">
        <x:v>30</x:v>
      </x:c>
      <x:c r="O37" s="3">
        <x:v>17</x:v>
      </x:c>
      <x:c r="P37" s="3">
        <x:v>4</x:v>
      </x:c>
      <x:c r="Q37" s="3">
        <x:v>8</x:v>
      </x:c>
      <x:c r="R37" s="3">
        <x:v>3</x:v>
      </x:c>
      <x:c r="S37" s="3">
        <x:v>2</x:v>
      </x:c>
      <x:c r="T37" s="3">
        <x:v>0</x:v>
      </x:c>
      <x:c r="U37" s="3">
        <x:v>0</x:v>
      </x:c>
      <x:c r="V37" s="3">
        <x:v>0</x:v>
      </x:c>
      <x:c r="W37" s="3">
        <x:v>4</x:v>
      </x:c>
      <x:c r="X37" s="3">
        <x:v>4</x:v>
      </x:c>
      <x:c r="Y37" s="3">
        <x:v>6</x:v>
      </x:c>
      <x:c r="Z37" s="3">
        <x:v>19</x:v>
      </x:c>
      <x:c r="AA37" s="3">
        <x:v>24</x:v>
      </x:c>
      <x:c r="AB37" s="3">
        <x:v>21</x:v>
      </x:c>
      <x:c r="AC37" s="3">
        <x:v>19</x:v>
      </x:c>
      <x:c r="AD37" s="3">
        <x:v>22</x:v>
      </x:c>
      <x:c r="AE37" s="3">
        <x:v>12</x:v>
      </x:c>
      <x:c r="AF37" s="3">
        <x:v>5</x:v>
      </x:c>
      <x:c r="AG37" s="3">
        <x:v>6</x:v>
      </x:c>
      <x:c r="AH37" s="3">
        <x:v>6</x:v>
      </x:c>
      <x:c r="AJ37" s="3">
        <x:v>7</x:v>
      </x:c>
      <x:c r="AK37" s="3">
        <x:v>8</x:v>
      </x:c>
      <x:c r="AL37" t="n">
        <x:f>Tabelle2[[#This Row],[1 jahre Weiblich]]+Tabelle2[[#This Row],[unter 1 Jahr Männlich]]</x:f>
        <x:v>0</x:v>
      </x:c>
      <x:c r="AM37" t="n">
        <x:f>Tabelle2[[#This Row],[1-15 Jahre Weiblich]]+Tabelle2[[#This Row],[1-15 jahre Mänlich]]</x:f>
        <x:v>0</x:v>
      </x:c>
      <x:c r="AN37" t="n">
        <x:f>Tabelle2[[#This Row],[15-20 Jahre Weiblich]]+Tabelle2[[#This Row],[15-20 jahre Männlich]]</x:f>
        <x:v>8</x:v>
      </x:c>
      <x:c r="AO37" t="n">
        <x:f>Tabelle2[[#This Row],[20-25 jahre weiblich]]+Tabelle2[[#This Row],[20-25 jahre Männlich]]</x:f>
        <x:v>19</x:v>
      </x:c>
      <x:c r="AP37" t="n">
        <x:f>Tabelle2[[#This Row],[25-30 Jahre Weiblich]]+Tabelle2[[#This Row],[25-30 jahre Männlich]]</x:f>
        <x:v>33</x:v>
      </x:c>
      <x:c r="AQ37" t="n">
        <x:f>Tabelle2[[#This Row],[30-35 Jahre Weiblich]]+Tabelle2[[#This Row],[30-35 jahre Männlich]]</x:f>
        <x:v>72</x:v>
      </x:c>
      <x:c r="AR37" t="n">
        <x:f>Tabelle2[[#This Row],[35-40 Jahre Weiblich]]+Tabelle2[[#This Row],[35-40 jahre  Männlich]]</x:f>
        <x:v>103</x:v>
      </x:c>
      <x:c r="AS37" t="n">
        <x:f>Tabelle2[[#This Row],[40-45 Jahre Weiblich]]+Tabelle2[[#This Row],[40-45 jahre Männlich]]</x:f>
        <x:v>114</x:v>
      </x:c>
      <x:c r="AT37" t="n">
        <x:f>Tabelle2[[#This Row],[45-50 Jahre Weiblich]]+Tabelle2[[#This Row],[45-50 jahre Männlich]]</x:f>
        <x:v>99</x:v>
      </x:c>
      <x:c r="AU37" t="n">
        <x:f>Tabelle2[[#This Row],[50-55 Jahre Weiblich]]+Tabelle2[[#This Row],[50-55 jahre Männlich]]</x:f>
        <x:v>103</x:v>
      </x:c>
      <x:c r="AV37" t="n">
        <x:f>Tabelle2[[#This Row],[55-60 Jahre Weiblich]]+Tabelle2[[#This Row],[55-60 jahre Männlich]]</x:f>
        <x:v>73</x:v>
      </x:c>
      <x:c r="AW37" t="n">
        <x:f>Tabelle2[[#This Row],[60-65 Jahre Weiblich]]+Tabelle2[[#This Row],[60-65 jahre Männlich]]</x:f>
        <x:v>35</x:v>
      </x:c>
      <x:c r="AX37" t="n">
        <x:f>Tabelle2[[#This Row],[65-70 Jahre Weiblich]]+Tabelle2[[#This Row],[65-70 Jahre  Männlich]]</x:f>
        <x:v>23</x:v>
      </x:c>
      <x:c r="AY37" t="n">
        <x:f>Tabelle2[[#This Row],[70-75Jahre Weiblich]]+Tabelle2[[#This Row],[70-75 jahre Männlch]]</x:f>
        <x:v>10</x:v>
      </x:c>
      <x:c r="AZ37" t="e">
        <x:f>Tabelle2[[#This Row],[75-80 Jahre Weiblich]]+Tabelle2[[#This Row],[75-80 jahre Männlich]]</x:f>
      </x:c>
      <x:c r="BA37" t="n">
        <x:f>Tabelle2[[#This Row],[80-85 Jahre Weiblich]]+Tabelle2[[#This Row],[80-85 jahre Männlich]]</x:f>
        <x:v>10</x:v>
      </x:c>
      <x:c r="BB37" t="n">
        <x:f>Tabelle2[[#This Row],[85 und mehr Weiblich]]+Tabelle2[[#This Row],[85 und mehr]]</x:f>
        <x:v>10</x:v>
      </x:c>
    </x:row>
    <x:row r="38">
      <x:c r="A38" s="1" t="s">
        <x:v>54</x:v>
      </x:c>
      <x:c r="B38" s="2" t="str">
        <x:v>Nervensystem</x:v>
      </x:c>
      <x:c r="C38" s="3">
        <x:v>25</x:v>
      </x:c>
      <x:c r="D38" s="3">
        <x:v>75</x:v>
      </x:c>
      <x:c r="E38" s="3">
        <x:v>48</x:v>
      </x:c>
      <x:c r="F38" s="3">
        <x:v>41</x:v>
      </x:c>
      <x:c r="G38" s="3">
        <x:v>63</x:v>
      </x:c>
      <x:c r="H38" s="3">
        <x:v>77</x:v>
      </x:c>
      <x:c r="I38" s="3">
        <x:v>82</x:v>
      </x:c>
      <x:c r="J38" s="3">
        <x:v>105</x:v>
      </x:c>
      <x:c r="K38" s="3">
        <x:v>207</x:v>
      </x:c>
      <x:c r="L38" s="3">
        <x:v>435</x:v>
      </x:c>
      <x:c r="M38" s="3">
        <x:v>628</x:v>
      </x:c>
      <x:c r="N38" s="3">
        <x:v>791</x:v>
      </x:c>
      <x:c r="O38" s="3">
        <x:v>1190</x:v>
      </x:c>
      <x:c r="P38" s="3">
        <x:v>1622</x:v>
      </x:c>
      <x:c r="Q38" s="3">
        <x:v>3530</x:v>
      </x:c>
      <x:c r="R38" s="3">
        <x:v>4276</x:v>
      </x:c>
      <x:c r="S38" s="3">
        <x:v>4383</x:v>
      </x:c>
      <x:c r="T38" s="3">
        <x:v>0</x:v>
      </x:c>
      <x:c r="U38" s="3">
        <x:v>20</x:v>
      </x:c>
      <x:c r="V38" s="3">
        <x:v>53</x:v>
      </x:c>
      <x:c r="W38" s="3">
        <x:v>19</x:v>
      </x:c>
      <x:c r="X38" s="3">
        <x:v>32</x:v>
      </x:c>
      <x:c r="Y38" s="3">
        <x:v>33</x:v>
      </x:c>
      <x:c r="Z38" s="3">
        <x:v>38</x:v>
      </x:c>
      <x:c r="AA38" s="3">
        <x:v>53</x:v>
      </x:c>
      <x:c r="AB38" s="3">
        <x:v>69</x:v>
      </x:c>
      <x:c r="AC38" s="3">
        <x:v>127</x:v>
      </x:c>
      <x:c r="AD38" s="3">
        <x:v>299</x:v>
      </x:c>
      <x:c r="AE38" s="3">
        <x:v>473</x:v>
      </x:c>
      <x:c r="AF38" s="3">
        <x:v>648</x:v>
      </x:c>
      <x:c r="AG38" s="3">
        <x:v>902</x:v>
      </x:c>
      <x:c r="AH38" s="3">
        <x:v>1205</x:v>
      </x:c>
      <x:c r="AJ38" s="3">
        <x:v>3780</x:v>
      </x:c>
      <x:c r="AK38" s="3">
        <x:v>6851</x:v>
      </x:c>
      <x:c r="AL38" t="n">
        <x:f>Tabelle2[[#This Row],[1 jahre Weiblich]]+Tabelle2[[#This Row],[unter 1 Jahr Männlich]]</x:f>
        <x:v>45</x:v>
      </x:c>
      <x:c r="AM38" t="n">
        <x:f>Tabelle2[[#This Row],[1-15 Jahre Weiblich]]+Tabelle2[[#This Row],[1-15 jahre Mänlich]]</x:f>
        <x:v>128</x:v>
      </x:c>
      <x:c r="AN38" t="n">
        <x:f>Tabelle2[[#This Row],[15-20 Jahre Weiblich]]+Tabelle2[[#This Row],[15-20 jahre Männlich]]</x:f>
        <x:v>67</x:v>
      </x:c>
      <x:c r="AO38" t="n">
        <x:f>Tabelle2[[#This Row],[20-25 jahre weiblich]]+Tabelle2[[#This Row],[20-25 jahre Männlich]]</x:f>
        <x:v>73</x:v>
      </x:c>
      <x:c r="AP38" t="n">
        <x:f>Tabelle2[[#This Row],[25-30 Jahre Weiblich]]+Tabelle2[[#This Row],[25-30 jahre Männlich]]</x:f>
        <x:v>96</x:v>
      </x:c>
      <x:c r="AQ38" t="n">
        <x:f>Tabelle2[[#This Row],[30-35 Jahre Weiblich]]+Tabelle2[[#This Row],[30-35 jahre Männlich]]</x:f>
        <x:v>115</x:v>
      </x:c>
      <x:c r="AR38" t="n">
        <x:f>Tabelle2[[#This Row],[35-40 Jahre Weiblich]]+Tabelle2[[#This Row],[35-40 jahre  Männlich]]</x:f>
        <x:v>135</x:v>
      </x:c>
      <x:c r="AS38" t="n">
        <x:f>Tabelle2[[#This Row],[40-45 Jahre Weiblich]]+Tabelle2[[#This Row],[40-45 jahre Männlich]]</x:f>
        <x:v>174</x:v>
      </x:c>
      <x:c r="AT38" t="n">
        <x:f>Tabelle2[[#This Row],[45-50 Jahre Weiblich]]+Tabelle2[[#This Row],[45-50 jahre Männlich]]</x:f>
        <x:v>334</x:v>
      </x:c>
      <x:c r="AU38" t="n">
        <x:f>Tabelle2[[#This Row],[50-55 Jahre Weiblich]]+Tabelle2[[#This Row],[50-55 jahre Männlich]]</x:f>
        <x:v>734</x:v>
      </x:c>
      <x:c r="AV38" t="n">
        <x:f>Tabelle2[[#This Row],[55-60 Jahre Weiblich]]+Tabelle2[[#This Row],[55-60 jahre Männlich]]</x:f>
        <x:v>1101</x:v>
      </x:c>
      <x:c r="AW38" t="n">
        <x:f>Tabelle2[[#This Row],[60-65 Jahre Weiblich]]+Tabelle2[[#This Row],[60-65 jahre Männlich]]</x:f>
        <x:v>1439</x:v>
      </x:c>
      <x:c r="AX38" t="n">
        <x:f>Tabelle2[[#This Row],[65-70 Jahre Weiblich]]+Tabelle2[[#This Row],[65-70 Jahre  Männlich]]</x:f>
        <x:v>2092</x:v>
      </x:c>
      <x:c r="AY38" t="n">
        <x:f>Tabelle2[[#This Row],[70-75Jahre Weiblich]]+Tabelle2[[#This Row],[70-75 jahre Männlch]]</x:f>
        <x:v>2827</x:v>
      </x:c>
      <x:c r="AZ38" t="e">
        <x:f>Tabelle2[[#This Row],[75-80 Jahre Weiblich]]+Tabelle2[[#This Row],[75-80 jahre Männlich]]</x:f>
      </x:c>
      <x:c r="BA38" t="n">
        <x:f>Tabelle2[[#This Row],[80-85 Jahre Weiblich]]+Tabelle2[[#This Row],[80-85 jahre Männlich]]</x:f>
        <x:v>8056</x:v>
      </x:c>
      <x:c r="BB38" t="n">
        <x:f>Tabelle2[[#This Row],[85 und mehr Weiblich]]+Tabelle2[[#This Row],[85 und mehr]]</x:f>
        <x:v>11234</x:v>
      </x:c>
    </x:row>
    <x:row r="39">
      <x:c r="A39" s="1" t="s">
        <x:v>54</x:v>
      </x:c>
      <x:c r="B39" s="2" t="s">
        <x:v>80</x:v>
      </x:c>
      <x:c r="C39" s="3">
        <x:v>3</x:v>
      </x:c>
      <x:c r="D39" s="3">
        <x:v>1</x:v>
      </x:c>
      <x:c r="E39" s="3">
        <x:v>0</x:v>
      </x:c>
      <x:c r="F39" s="3">
        <x:v>1</x:v>
      </x:c>
      <x:c r="G39" s="3">
        <x:v>1</x:v>
      </x:c>
      <x:c r="H39" s="3">
        <x:v>1</x:v>
      </x:c>
      <x:c r="I39" s="3">
        <x:v>1</x:v>
      </x:c>
      <x:c r="J39" s="3">
        <x:v>2</x:v>
      </x:c>
      <x:c r="K39" s="3">
        <x:v>2</x:v>
      </x:c>
      <x:c r="L39" s="3">
        <x:v>4</x:v>
      </x:c>
      <x:c r="M39" s="3">
        <x:v>4</x:v>
      </x:c>
      <x:c r="N39" s="3">
        <x:v>2</x:v>
      </x:c>
      <x:c r="O39" s="3">
        <x:v>10</x:v>
      </x:c>
      <x:c r="P39" s="3">
        <x:v>5</x:v>
      </x:c>
      <x:c r="Q39" s="3">
        <x:v>15</x:v>
      </x:c>
      <x:c r="R39" s="3">
        <x:v>7</x:v>
      </x:c>
      <x:c r="S39" s="3">
        <x:v>6</x:v>
      </x:c>
      <x:c r="T39" s="3">
        <x:v>0</x:v>
      </x:c>
      <x:c r="U39" s="3">
        <x:v>1</x:v>
      </x:c>
      <x:c r="V39" s="3">
        <x:v>2</x:v>
      </x:c>
      <x:c r="W39" s="3">
        <x:v>0</x:v>
      </x:c>
      <x:c r="X39" s="3">
        <x:v>2</x:v>
      </x:c>
      <x:c r="Y39" s="3">
        <x:v>0</x:v>
      </x:c>
      <x:c r="Z39" s="3">
        <x:v>0</x:v>
      </x:c>
      <x:c r="AA39" s="3">
        <x:v>3</x:v>
      </x:c>
      <x:c r="AB39" s="3">
        <x:v>1</x:v>
      </x:c>
      <x:c r="AC39" s="3">
        <x:v>1</x:v>
      </x:c>
      <x:c r="AD39" s="3">
        <x:v>5</x:v>
      </x:c>
      <x:c r="AE39" s="3">
        <x:v>6</x:v>
      </x:c>
      <x:c r="AF39" s="3">
        <x:v>2</x:v>
      </x:c>
      <x:c r="AG39" s="3">
        <x:v>10</x:v>
      </x:c>
      <x:c r="AH39" s="3">
        <x:v>5</x:v>
      </x:c>
      <x:c r="AJ39" s="3">
        <x:v>12</x:v>
      </x:c>
      <x:c r="AK39" s="3">
        <x:v>13</x:v>
      </x:c>
      <x:c r="AL39" t="n">
        <x:f>Tabelle2[[#This Row],[1 jahre Weiblich]]+Tabelle2[[#This Row],[unter 1 Jahr Männlich]]</x:f>
        <x:v>4</x:v>
      </x:c>
      <x:c r="AM39" t="n">
        <x:f>Tabelle2[[#This Row],[1-15 Jahre Weiblich]]+Tabelle2[[#This Row],[1-15 jahre Mänlich]]</x:f>
        <x:v>3</x:v>
      </x:c>
      <x:c r="AN39" t="n">
        <x:f>Tabelle2[[#This Row],[15-20 Jahre Weiblich]]+Tabelle2[[#This Row],[15-20 jahre Männlich]]</x:f>
        <x:v>0</x:v>
      </x:c>
      <x:c r="AO39" t="n">
        <x:f>Tabelle2[[#This Row],[20-25 jahre weiblich]]+Tabelle2[[#This Row],[20-25 jahre Männlich]]</x:f>
        <x:v>3</x:v>
      </x:c>
      <x:c r="AP39" t="n">
        <x:f>Tabelle2[[#This Row],[25-30 Jahre Weiblich]]+Tabelle2[[#This Row],[25-30 jahre Männlich]]</x:f>
        <x:v>1</x:v>
      </x:c>
      <x:c r="AQ39" t="n">
        <x:f>Tabelle2[[#This Row],[30-35 Jahre Weiblich]]+Tabelle2[[#This Row],[30-35 jahre Männlich]]</x:f>
        <x:v>1</x:v>
      </x:c>
      <x:c r="AR39" t="n">
        <x:f>Tabelle2[[#This Row],[35-40 Jahre Weiblich]]+Tabelle2[[#This Row],[35-40 jahre  Männlich]]</x:f>
        <x:v>4</x:v>
      </x:c>
      <x:c r="AS39" t="n">
        <x:f>Tabelle2[[#This Row],[40-45 Jahre Weiblich]]+Tabelle2[[#This Row],[40-45 jahre Männlich]]</x:f>
        <x:v>3</x:v>
      </x:c>
      <x:c r="AT39" t="n">
        <x:f>Tabelle2[[#This Row],[45-50 Jahre Weiblich]]+Tabelle2[[#This Row],[45-50 jahre Männlich]]</x:f>
        <x:v>3</x:v>
      </x:c>
      <x:c r="AU39" t="n">
        <x:f>Tabelle2[[#This Row],[50-55 Jahre Weiblich]]+Tabelle2[[#This Row],[50-55 jahre Männlich]]</x:f>
        <x:v>9</x:v>
      </x:c>
      <x:c r="AV39" t="n">
        <x:f>Tabelle2[[#This Row],[55-60 Jahre Weiblich]]+Tabelle2[[#This Row],[55-60 jahre Männlich]]</x:f>
        <x:v>10</x:v>
      </x:c>
      <x:c r="AW39" t="n">
        <x:f>Tabelle2[[#This Row],[60-65 Jahre Weiblich]]+Tabelle2[[#This Row],[60-65 jahre Männlich]]</x:f>
        <x:v>4</x:v>
      </x:c>
      <x:c r="AX39" t="n">
        <x:f>Tabelle2[[#This Row],[65-70 Jahre Weiblich]]+Tabelle2[[#This Row],[65-70 Jahre  Männlich]]</x:f>
        <x:v>20</x:v>
      </x:c>
      <x:c r="AY39" t="n">
        <x:f>Tabelle2[[#This Row],[70-75Jahre Weiblich]]+Tabelle2[[#This Row],[70-75 jahre Männlch]]</x:f>
        <x:v>10</x:v>
      </x:c>
      <x:c r="AZ39" t="e">
        <x:f>Tabelle2[[#This Row],[75-80 Jahre Weiblich]]+Tabelle2[[#This Row],[75-80 jahre Männlich]]</x:f>
      </x:c>
      <x:c r="BA39" t="n">
        <x:f>Tabelle2[[#This Row],[80-85 Jahre Weiblich]]+Tabelle2[[#This Row],[80-85 jahre Männlich]]</x:f>
        <x:v>19</x:v>
      </x:c>
      <x:c r="BB39" t="n">
        <x:f>Tabelle2[[#This Row],[85 und mehr Weiblich]]+Tabelle2[[#This Row],[85 und mehr]]</x:f>
        <x:v>19</x:v>
      </x:c>
    </x:row>
    <x:row r="40">
      <x:c r="A40" s="1" t="s">
        <x:v>54</x:v>
      </x:c>
      <x:c r="B40" s="2" t="str">
        <x:v>Kreislaufsystem</x:v>
      </x:c>
      <x:c r="C40" s="3">
        <x:v>17</x:v>
      </x:c>
      <x:c r="D40" s="3">
        <x:v>21</x:v>
      </x:c>
      <x:c r="E40" s="3">
        <x:v>22</x:v>
      </x:c>
      <x:c r="F40" s="3">
        <x:v>53</x:v>
      </x:c>
      <x:c r="G40" s="3">
        <x:v>94</x:v>
      </x:c>
      <x:c r="H40" s="3">
        <x:v>177</x:v>
      </x:c>
      <x:c r="I40" s="3">
        <x:v>370</x:v>
      </x:c>
      <x:c r="J40" s="3">
        <x:v>626</x:v>
      </x:c>
      <x:c r="K40" s="3">
        <x:v>1392</x:v>
      </x:c>
      <x:c r="L40" s="3">
        <x:v>3174</x:v>
      </x:c>
      <x:c r="M40" s="3">
        <x:v>5506</x:v>
      </x:c>
      <x:c r="N40" s="3">
        <x:v>7905</x:v>
      </x:c>
      <x:c r="O40" s="3">
        <x:v>10968</x:v>
      </x:c>
      <x:c r="P40" s="3">
        <x:v>13046</x:v>
      </x:c>
      <x:c r="Q40" s="3">
        <x:v>25078</x:v>
      </x:c>
      <x:c r="R40" s="3">
        <x:v>33717</x:v>
      </x:c>
      <x:c r="S40" s="3">
        <x:v>55116</x:v>
      </x:c>
      <x:c r="T40" s="3">
        <x:v>0</x:v>
      </x:c>
      <x:c r="U40" s="3">
        <x:v>13</x:v>
      </x:c>
      <x:c r="V40" s="3">
        <x:v>37</x:v>
      </x:c>
      <x:c r="W40" s="3">
        <x:v>22</x:v>
      </x:c>
      <x:c r="X40" s="3">
        <x:v>25</x:v>
      </x:c>
      <x:c r="Y40" s="3">
        <x:v>43</x:v>
      </x:c>
      <x:c r="Z40" s="3">
        <x:v>93</x:v>
      </x:c>
      <x:c r="AA40" s="3">
        <x:v>141</x:v>
      </x:c>
      <x:c r="AB40" s="3">
        <x:v>207</x:v>
      </x:c>
      <x:c r="AC40" s="3">
        <x:v>537</x:v>
      </x:c>
      <x:c r="AD40" s="3">
        <x:v>1100</x:v>
      </x:c>
      <x:c r="AE40" s="3">
        <x:v>1746</x:v>
      </x:c>
      <x:c r="AF40" s="3">
        <x:v>2944</x:v>
      </x:c>
      <x:c r="AG40" s="3">
        <x:v>4883</x:v>
      </x:c>
      <x:c r="AH40" s="3">
        <x:v>7343</x:v>
      </x:c>
      <x:c r="AJ40" s="3">
        <x:v>33373</x:v>
      </x:c>
      <x:c r="AK40" s="3">
        <x:v>117272</x:v>
      </x:c>
      <x:c r="AL40" t="n">
        <x:f>Tabelle2[[#This Row],[1 jahre Weiblich]]+Tabelle2[[#This Row],[unter 1 Jahr Männlich]]</x:f>
        <x:v>30</x:v>
      </x:c>
      <x:c r="AM40" t="n">
        <x:f>Tabelle2[[#This Row],[1-15 Jahre Weiblich]]+Tabelle2[[#This Row],[1-15 jahre Mänlich]]</x:f>
        <x:v>58</x:v>
      </x:c>
      <x:c r="AN40" t="n">
        <x:f>Tabelle2[[#This Row],[15-20 Jahre Weiblich]]+Tabelle2[[#This Row],[15-20 jahre Männlich]]</x:f>
        <x:v>44</x:v>
      </x:c>
      <x:c r="AO40" t="n">
        <x:f>Tabelle2[[#This Row],[20-25 jahre weiblich]]+Tabelle2[[#This Row],[20-25 jahre Männlich]]</x:f>
        <x:v>78</x:v>
      </x:c>
      <x:c r="AP40" t="n">
        <x:f>Tabelle2[[#This Row],[25-30 Jahre Weiblich]]+Tabelle2[[#This Row],[25-30 jahre Männlich]]</x:f>
        <x:v>137</x:v>
      </x:c>
      <x:c r="AQ40" t="n">
        <x:f>Tabelle2[[#This Row],[30-35 Jahre Weiblich]]+Tabelle2[[#This Row],[30-35 jahre Männlich]]</x:f>
        <x:v>270</x:v>
      </x:c>
      <x:c r="AR40" t="n">
        <x:f>Tabelle2[[#This Row],[35-40 Jahre Weiblich]]+Tabelle2[[#This Row],[35-40 jahre  Männlich]]</x:f>
        <x:v>511</x:v>
      </x:c>
      <x:c r="AS40" t="n">
        <x:f>Tabelle2[[#This Row],[40-45 Jahre Weiblich]]+Tabelle2[[#This Row],[40-45 jahre Männlich]]</x:f>
        <x:v>833</x:v>
      </x:c>
      <x:c r="AT40" t="n">
        <x:f>Tabelle2[[#This Row],[45-50 Jahre Weiblich]]+Tabelle2[[#This Row],[45-50 jahre Männlich]]</x:f>
        <x:v>1929</x:v>
      </x:c>
      <x:c r="AU40" t="n">
        <x:f>Tabelle2[[#This Row],[50-55 Jahre Weiblich]]+Tabelle2[[#This Row],[50-55 jahre Männlich]]</x:f>
        <x:v>4274</x:v>
      </x:c>
      <x:c r="AV40" t="n">
        <x:f>Tabelle2[[#This Row],[55-60 Jahre Weiblich]]+Tabelle2[[#This Row],[55-60 jahre Männlich]]</x:f>
        <x:v>7252</x:v>
      </x:c>
      <x:c r="AW40" t="n">
        <x:f>Tabelle2[[#This Row],[60-65 Jahre Weiblich]]+Tabelle2[[#This Row],[60-65 jahre Männlich]]</x:f>
        <x:v>10849</x:v>
      </x:c>
      <x:c r="AX40" t="n">
        <x:f>Tabelle2[[#This Row],[65-70 Jahre Weiblich]]+Tabelle2[[#This Row],[65-70 Jahre  Männlich]]</x:f>
        <x:v>15851</x:v>
      </x:c>
      <x:c r="AY40" t="n">
        <x:f>Tabelle2[[#This Row],[70-75Jahre Weiblich]]+Tabelle2[[#This Row],[70-75 jahre Männlch]]</x:f>
        <x:v>20389</x:v>
      </x:c>
      <x:c r="AZ40" t="e">
        <x:f>Tabelle2[[#This Row],[75-80 Jahre Weiblich]]+Tabelle2[[#This Row],[75-80 jahre Männlich]]</x:f>
      </x:c>
      <x:c r="BA40" t="n">
        <x:f>Tabelle2[[#This Row],[80-85 Jahre Weiblich]]+Tabelle2[[#This Row],[80-85 jahre Männlich]]</x:f>
        <x:v>67090</x:v>
      </x:c>
      <x:c r="BB40" t="n">
        <x:f>Tabelle2[[#This Row],[85 und mehr Weiblich]]+Tabelle2[[#This Row],[85 und mehr]]</x:f>
        <x:v>172388</x:v>
      </x:c>
    </x:row>
    <x:row r="41">
      <x:c r="A41" s="1" t="s">
        <x:v>54</x:v>
      </x:c>
      <x:c r="B41" s="2" t="s">
        <x:v>81</x:v>
      </x:c>
      <x:c r="C41" s="3">
        <x:v>0</x:v>
      </x:c>
      <x:c r="D41" s="3">
        <x:v>0</x:v>
      </x:c>
      <x:c r="E41" s="3">
        <x:v>0</x:v>
      </x:c>
      <x:c r="F41" s="3">
        <x:v>1</x:v>
      </x:c>
      <x:c r="G41" s="3">
        <x:v>5</x:v>
      </x:c>
      <x:c r="H41" s="3">
        <x:v>7</x:v>
      </x:c>
      <x:c r="I41" s="3">
        <x:v>14</x:v>
      </x:c>
      <x:c r="J41" s="3">
        <x:v>21</x:v>
      </x:c>
      <x:c r="K41" s="3">
        <x:v>76</x:v>
      </x:c>
      <x:c r="L41" s="3">
        <x:v>163</x:v>
      </x:c>
      <x:c r="M41" s="3">
        <x:v>336</x:v>
      </x:c>
      <x:c r="N41" s="3">
        <x:v>454</x:v>
      </x:c>
      <x:c r="O41" s="3">
        <x:v>714</x:v>
      </x:c>
      <x:c r="P41" s="3">
        <x:v>841</x:v>
      </x:c>
      <x:c r="Q41" s="3">
        <x:v>1881</x:v>
      </x:c>
      <x:c r="R41" s="3">
        <x:v>3063</x:v>
      </x:c>
      <x:c r="S41" s="3">
        <x:v>6720</x:v>
      </x:c>
      <x:c r="T41" s="3">
        <x:v>0</x:v>
      </x:c>
      <x:c r="U41" s="3">
        <x:v>1</x:v>
      </x:c>
      <x:c r="V41" s="3">
        <x:v>2</x:v>
      </x:c>
      <x:c r="W41" s="3">
        <x:v>0</x:v>
      </x:c>
      <x:c r="X41" s="3">
        <x:v>1</x:v>
      </x:c>
      <x:c r="Y41" s="3">
        <x:v>0</x:v>
      </x:c>
      <x:c r="Z41" s="3">
        <x:v>3</x:v>
      </x:c>
      <x:c r="AA41" s="3">
        <x:v>5</x:v>
      </x:c>
      <x:c r="AB41" s="3">
        <x:v>18</x:v>
      </x:c>
      <x:c r="AC41" s="3">
        <x:v>25</x:v>
      </x:c>
      <x:c r="AD41" s="3">
        <x:v>58</x:v>
      </x:c>
      <x:c r="AE41" s="3">
        <x:v>117</x:v>
      </x:c>
      <x:c r="AF41" s="3">
        <x:v>191</x:v>
      </x:c>
      <x:c r="AG41" s="3">
        <x:v>394</x:v>
      </x:c>
      <x:c r="AH41" s="3">
        <x:v>727</x:v>
      </x:c>
      <x:c r="AJ41" s="3">
        <x:v>4512</x:v>
      </x:c>
      <x:c r="AK41" s="3">
        <x:v>21813</x:v>
      </x:c>
      <x:c r="AL41" t="n">
        <x:f>Tabelle2[[#This Row],[1 jahre Weiblich]]+Tabelle2[[#This Row],[unter 1 Jahr Männlich]]</x:f>
        <x:v>1</x:v>
      </x:c>
      <x:c r="AM41" t="n">
        <x:f>Tabelle2[[#This Row],[1-15 Jahre Weiblich]]+Tabelle2[[#This Row],[1-15 jahre Mänlich]]</x:f>
        <x:v>2</x:v>
      </x:c>
      <x:c r="AN41" t="n">
        <x:f>Tabelle2[[#This Row],[15-20 Jahre Weiblich]]+Tabelle2[[#This Row],[15-20 jahre Männlich]]</x:f>
        <x:v>0</x:v>
      </x:c>
      <x:c r="AO41" t="n">
        <x:f>Tabelle2[[#This Row],[20-25 jahre weiblich]]+Tabelle2[[#This Row],[20-25 jahre Männlich]]</x:f>
        <x:v>2</x:v>
      </x:c>
      <x:c r="AP41" t="n">
        <x:f>Tabelle2[[#This Row],[25-30 Jahre Weiblich]]+Tabelle2[[#This Row],[25-30 jahre Männlich]]</x:f>
        <x:v>5</x:v>
      </x:c>
      <x:c r="AQ41" t="n">
        <x:f>Tabelle2[[#This Row],[30-35 Jahre Weiblich]]+Tabelle2[[#This Row],[30-35 jahre Männlich]]</x:f>
        <x:v>10</x:v>
      </x:c>
      <x:c r="AR41" t="n">
        <x:f>Tabelle2[[#This Row],[35-40 Jahre Weiblich]]+Tabelle2[[#This Row],[35-40 jahre  Männlich]]</x:f>
        <x:v>19</x:v>
      </x:c>
      <x:c r="AS41" t="n">
        <x:f>Tabelle2[[#This Row],[40-45 Jahre Weiblich]]+Tabelle2[[#This Row],[40-45 jahre Männlich]]</x:f>
        <x:v>39</x:v>
      </x:c>
      <x:c r="AT41" t="n">
        <x:f>Tabelle2[[#This Row],[45-50 Jahre Weiblich]]+Tabelle2[[#This Row],[45-50 jahre Männlich]]</x:f>
        <x:v>101</x:v>
      </x:c>
      <x:c r="AU41" t="n">
        <x:f>Tabelle2[[#This Row],[50-55 Jahre Weiblich]]+Tabelle2[[#This Row],[50-55 jahre Männlich]]</x:f>
        <x:v>221</x:v>
      </x:c>
      <x:c r="AV41" t="n">
        <x:f>Tabelle2[[#This Row],[55-60 Jahre Weiblich]]+Tabelle2[[#This Row],[55-60 jahre Männlich]]</x:f>
        <x:v>453</x:v>
      </x:c>
      <x:c r="AW41" t="n">
        <x:f>Tabelle2[[#This Row],[60-65 Jahre Weiblich]]+Tabelle2[[#This Row],[60-65 jahre Männlich]]</x:f>
        <x:v>645</x:v>
      </x:c>
      <x:c r="AX41" t="n">
        <x:f>Tabelle2[[#This Row],[65-70 Jahre Weiblich]]+Tabelle2[[#This Row],[65-70 Jahre  Männlich]]</x:f>
        <x:v>1108</x:v>
      </x:c>
      <x:c r="AY41" t="n">
        <x:f>Tabelle2[[#This Row],[70-75Jahre Weiblich]]+Tabelle2[[#This Row],[70-75 jahre Männlch]]</x:f>
        <x:v>1568</x:v>
      </x:c>
      <x:c r="AZ41" t="e">
        <x:f>Tabelle2[[#This Row],[75-80 Jahre Weiblich]]+Tabelle2[[#This Row],[75-80 jahre Männlich]]</x:f>
      </x:c>
      <x:c r="BA41" t="n">
        <x:f>Tabelle2[[#This Row],[80-85 Jahre Weiblich]]+Tabelle2[[#This Row],[80-85 jahre Männlich]]</x:f>
        <x:v>7575</x:v>
      </x:c>
      <x:c r="BB41" t="n">
        <x:f>Tabelle2[[#This Row],[85 und mehr Weiblich]]+Tabelle2[[#This Row],[85 und mehr]]</x:f>
        <x:v>28533</x:v>
      </x:c>
    </x:row>
    <x:row r="42">
      <x:c r="A42" s="1" t="s">
        <x:v>54</x:v>
      </x:c>
      <x:c r="B42" s="2" t="s">
        <x:v>82</x:v>
      </x:c>
      <x:c r="C42" s="3">
        <x:v>1</x:v>
      </x:c>
      <x:c r="D42" s="3">
        <x:v>0</x:v>
      </x:c>
      <x:c r="E42" s="3">
        <x:v>0</x:v>
      </x:c>
      <x:c r="F42" s="3">
        <x:v>9</x:v>
      </x:c>
      <x:c r="G42" s="3">
        <x:v>12</x:v>
      </x:c>
      <x:c r="H42" s="3">
        <x:v>35</x:v>
      </x:c>
      <x:c r="I42" s="3">
        <x:v>138</x:v>
      </x:c>
      <x:c r="J42" s="3">
        <x:v>229</x:v>
      </x:c>
      <x:c r="K42" s="3">
        <x:v>650</x:v>
      </x:c>
      <x:c r="L42" s="3">
        <x:v>1576</x:v>
      </x:c>
      <x:c r="M42" s="3">
        <x:v>2780</x:v>
      </x:c>
      <x:c r="N42" s="3">
        <x:v>4086</x:v>
      </x:c>
      <x:c r="O42" s="3">
        <x:v>5404</x:v>
      </x:c>
      <x:c r="P42" s="3">
        <x:v>6139</x:v>
      </x:c>
      <x:c r="Q42" s="3">
        <x:v>11236</x:v>
      </x:c>
      <x:c r="R42" s="3">
        <x:v>14382</x:v>
      </x:c>
      <x:c r="S42" s="3">
        <x:v>21497</x:v>
      </x:c>
      <x:c r="T42" s="3">
        <x:v>0</x:v>
      </x:c>
      <x:c r="U42" s="3">
        <x:v>0</x:v>
      </x:c>
      <x:c r="V42" s="3">
        <x:v>0</x:v>
      </x:c>
      <x:c r="W42" s="3">
        <x:v>1</x:v>
      </x:c>
      <x:c r="X42" s="3">
        <x:v>1</x:v>
      </x:c>
      <x:c r="Y42" s="3">
        <x:v>3</x:v>
      </x:c>
      <x:c r="Z42" s="3">
        <x:v>12</x:v>
      </x:c>
      <x:c r="AA42" s="3">
        <x:v>24</x:v>
      </x:c>
      <x:c r="AB42" s="3">
        <x:v>43</x:v>
      </x:c>
      <x:c r="AC42" s="3">
        <x:v>151</x:v>
      </x:c>
      <x:c r="AD42" s="3">
        <x:v>333</x:v>
      </x:c>
      <x:c r="AE42" s="3">
        <x:v>583</x:v>
      </x:c>
      <x:c r="AF42" s="3">
        <x:v>1055</x:v>
      </x:c>
      <x:c r="AG42" s="3">
        <x:v>1763</x:v>
      </x:c>
      <x:c r="AH42" s="3">
        <x:v>2409</x:v>
      </x:c>
      <x:c r="AJ42" s="3">
        <x:v>10174</x:v>
      </x:c>
      <x:c r="AK42" s="3">
        <x:v>33509</x:v>
      </x:c>
      <x:c r="AL42" t="n">
        <x:f>Tabelle2[[#This Row],[1 jahre Weiblich]]+Tabelle2[[#This Row],[unter 1 Jahr Männlich]]</x:f>
        <x:v>1</x:v>
      </x:c>
      <x:c r="AM42" t="n">
        <x:f>Tabelle2[[#This Row],[1-15 Jahre Weiblich]]+Tabelle2[[#This Row],[1-15 jahre Mänlich]]</x:f>
        <x:v>0</x:v>
      </x:c>
      <x:c r="AN42" t="n">
        <x:f>Tabelle2[[#This Row],[15-20 Jahre Weiblich]]+Tabelle2[[#This Row],[15-20 jahre Männlich]]</x:f>
        <x:v>1</x:v>
      </x:c>
      <x:c r="AO42" t="n">
        <x:f>Tabelle2[[#This Row],[20-25 jahre weiblich]]+Tabelle2[[#This Row],[20-25 jahre Männlich]]</x:f>
        <x:v>10</x:v>
      </x:c>
      <x:c r="AP42" t="n">
        <x:f>Tabelle2[[#This Row],[25-30 Jahre Weiblich]]+Tabelle2[[#This Row],[25-30 jahre Männlich]]</x:f>
        <x:v>15</x:v>
      </x:c>
      <x:c r="AQ42" t="n">
        <x:f>Tabelle2[[#This Row],[30-35 Jahre Weiblich]]+Tabelle2[[#This Row],[30-35 jahre Männlich]]</x:f>
        <x:v>47</x:v>
      </x:c>
      <x:c r="AR42" t="n">
        <x:f>Tabelle2[[#This Row],[35-40 Jahre Weiblich]]+Tabelle2[[#This Row],[35-40 jahre  Männlich]]</x:f>
        <x:v>162</x:v>
      </x:c>
      <x:c r="AS42" t="n">
        <x:f>Tabelle2[[#This Row],[40-45 Jahre Weiblich]]+Tabelle2[[#This Row],[40-45 jahre Männlich]]</x:f>
        <x:v>272</x:v>
      </x:c>
      <x:c r="AT42" t="n">
        <x:f>Tabelle2[[#This Row],[45-50 Jahre Weiblich]]+Tabelle2[[#This Row],[45-50 jahre Männlich]]</x:f>
        <x:v>801</x:v>
      </x:c>
      <x:c r="AU42" t="n">
        <x:f>Tabelle2[[#This Row],[50-55 Jahre Weiblich]]+Tabelle2[[#This Row],[50-55 jahre Männlich]]</x:f>
        <x:v>1909</x:v>
      </x:c>
      <x:c r="AV42" t="n">
        <x:f>Tabelle2[[#This Row],[55-60 Jahre Weiblich]]+Tabelle2[[#This Row],[55-60 jahre Männlich]]</x:f>
        <x:v>3363</x:v>
      </x:c>
      <x:c r="AW42" t="n">
        <x:f>Tabelle2[[#This Row],[60-65 Jahre Weiblich]]+Tabelle2[[#This Row],[60-65 jahre Männlich]]</x:f>
        <x:v>5141</x:v>
      </x:c>
      <x:c r="AX42" t="n">
        <x:f>Tabelle2[[#This Row],[65-70 Jahre Weiblich]]+Tabelle2[[#This Row],[65-70 Jahre  Männlich]]</x:f>
        <x:v>7167</x:v>
      </x:c>
      <x:c r="AY42" t="n">
        <x:f>Tabelle2[[#This Row],[70-75Jahre Weiblich]]+Tabelle2[[#This Row],[70-75 jahre Männlch]]</x:f>
        <x:v>8548</x:v>
      </x:c>
      <x:c r="AZ42" t="e">
        <x:f>Tabelle2[[#This Row],[75-80 Jahre Weiblich]]+Tabelle2[[#This Row],[75-80 jahre Männlich]]</x:f>
      </x:c>
      <x:c r="BA42" t="n">
        <x:f>Tabelle2[[#This Row],[80-85 Jahre Weiblich]]+Tabelle2[[#This Row],[80-85 jahre Männlich]]</x:f>
        <x:v>24556</x:v>
      </x:c>
      <x:c r="BB42" t="n">
        <x:f>Tabelle2[[#This Row],[85 und mehr Weiblich]]+Tabelle2[[#This Row],[85 und mehr]]</x:f>
        <x:v>55006</x:v>
      </x:c>
    </x:row>
    <x:row r="43">
      <x:c r="A43" s="1" t="s">
        <x:v>54</x:v>
      </x:c>
      <x:c r="B43" s="2" t="s">
        <x:v>83</x:v>
      </x:c>
      <x:c r="C43" s="3">
        <x:v>0</x:v>
      </x:c>
      <x:c r="D43" s="3">
        <x:v>0</x:v>
      </x:c>
      <x:c r="E43" s="3">
        <x:v>0</x:v>
      </x:c>
      <x:c r="F43" s="3">
        <x:v>8</x:v>
      </x:c>
      <x:c r="G43" s="3">
        <x:v>11</x:v>
      </x:c>
      <x:c r="H43" s="3">
        <x:v>24</x:v>
      </x:c>
      <x:c r="I43" s="3">
        <x:v>105</x:v>
      </x:c>
      <x:c r="J43" s="3">
        <x:v>173</x:v>
      </x:c>
      <x:c r="K43" s="3">
        <x:v>470</x:v>
      </x:c>
      <x:c r="L43" s="3">
        <x:v>1107</x:v>
      </x:c>
      <x:c r="M43" s="3">
        <x:v>1805</x:v>
      </x:c>
      <x:c r="N43" s="3">
        <x:v>2351</x:v>
      </x:c>
      <x:c r="O43" s="3">
        <x:v>2871</x:v>
      </x:c>
      <x:c r="P43" s="3">
        <x:v>2810</x:v>
      </x:c>
      <x:c r="Q43" s="3">
        <x:v>4426</x:v>
      </x:c>
      <x:c r="R43" s="3">
        <x:v>4895</x:v>
      </x:c>
      <x:c r="S43" s="3">
        <x:v>5828</x:v>
      </x:c>
      <x:c r="T43" s="3">
        <x:v>0</x:v>
      </x:c>
      <x:c r="U43" s="3">
        <x:v>0</x:v>
      </x:c>
      <x:c r="V43" s="3">
        <x:v>0</x:v>
      </x:c>
      <x:c r="W43" s="3">
        <x:v>1</x:v>
      </x:c>
      <x:c r="X43" s="3">
        <x:v>1</x:v>
      </x:c>
      <x:c r="Y43" s="3">
        <x:v>1</x:v>
      </x:c>
      <x:c r="Z43" s="3">
        <x:v>10</x:v>
      </x:c>
      <x:c r="AA43" s="3">
        <x:v>15</x:v>
      </x:c>
      <x:c r="AB43" s="3">
        <x:v>29</x:v>
      </x:c>
      <x:c r="AC43" s="3">
        <x:v>116</x:v>
      </x:c>
      <x:c r="AD43" s="3">
        <x:v>232</x:v>
      </x:c>
      <x:c r="AE43" s="3">
        <x:v>389</x:v>
      </x:c>
      <x:c r="AF43" s="3">
        <x:v>650</x:v>
      </x:c>
      <x:c r="AG43" s="3">
        <x:v>962</x:v>
      </x:c>
      <x:c r="AH43" s="3">
        <x:v>1201</x:v>
      </x:c>
      <x:c r="AJ43" s="3">
        <x:v>3868</x:v>
      </x:c>
      <x:c r="AK43" s="3">
        <x:v>9365</x:v>
      </x:c>
      <x:c r="AL43" t="n">
        <x:f>Tabelle2[[#This Row],[1 jahre Weiblich]]+Tabelle2[[#This Row],[unter 1 Jahr Männlich]]</x:f>
        <x:v>0</x:v>
      </x:c>
      <x:c r="AM43" t="n">
        <x:f>Tabelle2[[#This Row],[1-15 Jahre Weiblich]]+Tabelle2[[#This Row],[1-15 jahre Mänlich]]</x:f>
        <x:v>0</x:v>
      </x:c>
      <x:c r="AN43" t="n">
        <x:f>Tabelle2[[#This Row],[15-20 Jahre Weiblich]]+Tabelle2[[#This Row],[15-20 jahre Männlich]]</x:f>
        <x:v>1</x:v>
      </x:c>
      <x:c r="AO43" t="n">
        <x:f>Tabelle2[[#This Row],[20-25 jahre weiblich]]+Tabelle2[[#This Row],[20-25 jahre Männlich]]</x:f>
        <x:v>9</x:v>
      </x:c>
      <x:c r="AP43" t="n">
        <x:f>Tabelle2[[#This Row],[25-30 Jahre Weiblich]]+Tabelle2[[#This Row],[25-30 jahre Männlich]]</x:f>
        <x:v>12</x:v>
      </x:c>
      <x:c r="AQ43" t="n">
        <x:f>Tabelle2[[#This Row],[30-35 Jahre Weiblich]]+Tabelle2[[#This Row],[30-35 jahre Männlich]]</x:f>
        <x:v>34</x:v>
      </x:c>
      <x:c r="AR43" t="n">
        <x:f>Tabelle2[[#This Row],[35-40 Jahre Weiblich]]+Tabelle2[[#This Row],[35-40 jahre  Männlich]]</x:f>
        <x:v>120</x:v>
      </x:c>
      <x:c r="AS43" t="n">
        <x:f>Tabelle2[[#This Row],[40-45 Jahre Weiblich]]+Tabelle2[[#This Row],[40-45 jahre Männlich]]</x:f>
        <x:v>202</x:v>
      </x:c>
      <x:c r="AT43" t="n">
        <x:f>Tabelle2[[#This Row],[45-50 Jahre Weiblich]]+Tabelle2[[#This Row],[45-50 jahre Männlich]]</x:f>
        <x:v>586</x:v>
      </x:c>
      <x:c r="AU43" t="n">
        <x:f>Tabelle2[[#This Row],[50-55 Jahre Weiblich]]+Tabelle2[[#This Row],[50-55 jahre Männlich]]</x:f>
        <x:v>1339</x:v>
      </x:c>
      <x:c r="AV43" t="n">
        <x:f>Tabelle2[[#This Row],[55-60 Jahre Weiblich]]+Tabelle2[[#This Row],[55-60 jahre Männlich]]</x:f>
        <x:v>2194</x:v>
      </x:c>
      <x:c r="AW43" t="n">
        <x:f>Tabelle2[[#This Row],[60-65 Jahre Weiblich]]+Tabelle2[[#This Row],[60-65 jahre Männlich]]</x:f>
        <x:v>3001</x:v>
      </x:c>
      <x:c r="AX43" t="n">
        <x:f>Tabelle2[[#This Row],[65-70 Jahre Weiblich]]+Tabelle2[[#This Row],[65-70 Jahre  Männlich]]</x:f>
        <x:v>3833</x:v>
      </x:c>
      <x:c r="AY43" t="n">
        <x:f>Tabelle2[[#This Row],[70-75Jahre Weiblich]]+Tabelle2[[#This Row],[70-75 jahre Männlch]]</x:f>
        <x:v>4011</x:v>
      </x:c>
      <x:c r="AZ43" t="e">
        <x:f>Tabelle2[[#This Row],[75-80 Jahre Weiblich]]+Tabelle2[[#This Row],[75-80 jahre Männlich]]</x:f>
      </x:c>
      <x:c r="BA43" t="n">
        <x:f>Tabelle2[[#This Row],[80-85 Jahre Weiblich]]+Tabelle2[[#This Row],[80-85 jahre Männlich]]</x:f>
        <x:v>8763</x:v>
      </x:c>
      <x:c r="BB43" t="n">
        <x:f>Tabelle2[[#This Row],[85 und mehr Weiblich]]+Tabelle2[[#This Row],[85 und mehr]]</x:f>
        <x:v>15193</x:v>
      </x:c>
    </x:row>
    <x:row r="44">
      <x:c r="A44" s="1" t="s">
        <x:v>54</x:v>
      </x:c>
      <x:c r="B44" s="2" t="s">
        <x:v>84</x:v>
      </x:c>
      <x:c r="C44" s="3">
        <x:v>13</x:v>
      </x:c>
      <x:c r="D44" s="3">
        <x:v>8</x:v>
      </x:c>
      <x:c r="E44" s="3">
        <x:v>13</x:v>
      </x:c>
      <x:c r="F44" s="3">
        <x:v>20</x:v>
      </x:c>
      <x:c r="G44" s="3">
        <x:v>40</x:v>
      </x:c>
      <x:c r="H44" s="3">
        <x:v>58</x:v>
      </x:c>
      <x:c r="I44" s="3">
        <x:v>91</x:v>
      </x:c>
      <x:c r="J44" s="3">
        <x:v>149</x:v>
      </x:c>
      <x:c r="K44" s="3">
        <x:v>287</x:v>
      </x:c>
      <x:c r="L44" s="3">
        <x:v>604</x:v>
      </x:c>
      <x:c r="M44" s="3">
        <x:v>966</x:v>
      </x:c>
      <x:c r="N44" s="3">
        <x:v>1251</x:v>
      </x:c>
      <x:c r="O44" s="3">
        <x:v>1766</x:v>
      </x:c>
      <x:c r="P44" s="3">
        <x:v>2241</x:v>
      </x:c>
      <x:c r="Q44" s="3">
        <x:v>4551</x:v>
      </x:c>
      <x:c r="R44" s="3">
        <x:v>6767</x:v>
      </x:c>
      <x:c r="S44" s="3">
        <x:v>13485</x:v>
      </x:c>
      <x:c r="T44" s="3">
        <x:v>0</x:v>
      </x:c>
      <x:c r="U44" s="3">
        <x:v>9</x:v>
      </x:c>
      <x:c r="V44" s="3">
        <x:v>25</x:v>
      </x:c>
      <x:c r="W44" s="3">
        <x:v>11</x:v>
      </x:c>
      <x:c r="X44" s="3">
        <x:v>9</x:v>
      </x:c>
      <x:c r="Y44" s="3">
        <x:v>10</x:v>
      </x:c>
      <x:c r="Z44" s="3">
        <x:v>21</x:v>
      </x:c>
      <x:c r="AA44" s="3">
        <x:v>30</x:v>
      </x:c>
      <x:c r="AB44" s="3">
        <x:v>47</x:v>
      </x:c>
      <x:c r="AC44" s="3">
        <x:v>91</x:v>
      </x:c>
      <x:c r="AD44" s="3">
        <x:v>192</x:v>
      </x:c>
      <x:c r="AE44" s="3">
        <x:v>310</x:v>
      </x:c>
      <x:c r="AF44" s="3">
        <x:v>526</x:v>
      </x:c>
      <x:c r="AG44" s="3">
        <x:v>897</x:v>
      </x:c>
      <x:c r="AH44" s="3">
        <x:v>1496</x:v>
      </x:c>
      <x:c r="AJ44" s="3">
        <x:v>7773</x:v>
      </x:c>
      <x:c r="AK44" s="3">
        <x:v>31333</x:v>
      </x:c>
      <x:c r="AL44" t="n">
        <x:f>Tabelle2[[#This Row],[1 jahre Weiblich]]+Tabelle2[[#This Row],[unter 1 Jahr Männlich]]</x:f>
        <x:v>22</x:v>
      </x:c>
      <x:c r="AM44" t="n">
        <x:f>Tabelle2[[#This Row],[1-15 Jahre Weiblich]]+Tabelle2[[#This Row],[1-15 jahre Mänlich]]</x:f>
        <x:v>33</x:v>
      </x:c>
      <x:c r="AN44" t="n">
        <x:f>Tabelle2[[#This Row],[15-20 Jahre Weiblich]]+Tabelle2[[#This Row],[15-20 jahre Männlich]]</x:f>
        <x:v>24</x:v>
      </x:c>
      <x:c r="AO44" t="n">
        <x:f>Tabelle2[[#This Row],[20-25 jahre weiblich]]+Tabelle2[[#This Row],[20-25 jahre Männlich]]</x:f>
        <x:v>29</x:v>
      </x:c>
      <x:c r="AP44" t="n">
        <x:f>Tabelle2[[#This Row],[25-30 Jahre Weiblich]]+Tabelle2[[#This Row],[25-30 jahre Männlich]]</x:f>
        <x:v>50</x:v>
      </x:c>
      <x:c r="AQ44" t="n">
        <x:f>Tabelle2[[#This Row],[30-35 Jahre Weiblich]]+Tabelle2[[#This Row],[30-35 jahre Männlich]]</x:f>
        <x:v>79</x:v>
      </x:c>
      <x:c r="AR44" t="n">
        <x:f>Tabelle2[[#This Row],[35-40 Jahre Weiblich]]+Tabelle2[[#This Row],[35-40 jahre  Männlich]]</x:f>
        <x:v>121</x:v>
      </x:c>
      <x:c r="AS44" t="n">
        <x:f>Tabelle2[[#This Row],[40-45 Jahre Weiblich]]+Tabelle2[[#This Row],[40-45 jahre Männlich]]</x:f>
        <x:v>196</x:v>
      </x:c>
      <x:c r="AT44" t="n">
        <x:f>Tabelle2[[#This Row],[45-50 Jahre Weiblich]]+Tabelle2[[#This Row],[45-50 jahre Männlich]]</x:f>
        <x:v>378</x:v>
      </x:c>
      <x:c r="AU44" t="n">
        <x:f>Tabelle2[[#This Row],[50-55 Jahre Weiblich]]+Tabelle2[[#This Row],[50-55 jahre Männlich]]</x:f>
        <x:v>796</x:v>
      </x:c>
      <x:c r="AV44" t="n">
        <x:f>Tabelle2[[#This Row],[55-60 Jahre Weiblich]]+Tabelle2[[#This Row],[55-60 jahre Männlich]]</x:f>
        <x:v>1276</x:v>
      </x:c>
      <x:c r="AW44" t="n">
        <x:f>Tabelle2[[#This Row],[60-65 Jahre Weiblich]]+Tabelle2[[#This Row],[60-65 jahre Männlich]]</x:f>
        <x:v>1777</x:v>
      </x:c>
      <x:c r="AX44" t="n">
        <x:f>Tabelle2[[#This Row],[65-70 Jahre Weiblich]]+Tabelle2[[#This Row],[65-70 Jahre  Männlich]]</x:f>
        <x:v>2663</x:v>
      </x:c>
      <x:c r="AY44" t="n">
        <x:f>Tabelle2[[#This Row],[70-75Jahre Weiblich]]+Tabelle2[[#This Row],[70-75 jahre Männlch]]</x:f>
        <x:v>3737</x:v>
      </x:c>
      <x:c r="AZ44" t="e">
        <x:f>Tabelle2[[#This Row],[75-80 Jahre Weiblich]]+Tabelle2[[#This Row],[75-80 jahre Männlich]]</x:f>
      </x:c>
      <x:c r="BA44" t="n">
        <x:f>Tabelle2[[#This Row],[80-85 Jahre Weiblich]]+Tabelle2[[#This Row],[80-85 jahre Männlich]]</x:f>
        <x:v>14540</x:v>
      </x:c>
      <x:c r="BB44" t="n">
        <x:f>Tabelle2[[#This Row],[85 und mehr Weiblich]]+Tabelle2[[#This Row],[85 und mehr]]</x:f>
        <x:v>44818</x:v>
      </x:c>
    </x:row>
    <x:row r="45">
      <x:c r="A45" s="1" t="s">
        <x:v>54</x:v>
      </x:c>
      <x:c r="B45" s="2" t="s">
        <x:v>85</x:v>
      </x:c>
      <x:c r="C45" s="3">
        <x:v>0</x:v>
      </x:c>
      <x:c r="D45" s="3">
        <x:v>2</x:v>
      </x:c>
      <x:c r="E45" s="3">
        <x:v>1</x:v>
      </x:c>
      <x:c r="F45" s="3">
        <x:v>5</x:v>
      </x:c>
      <x:c r="G45" s="3">
        <x:v>9</x:v>
      </x:c>
      <x:c r="H45" s="3">
        <x:v>9</x:v>
      </x:c>
      <x:c r="I45" s="3">
        <x:v>7</x:v>
      </x:c>
      <x:c r="J45" s="3">
        <x:v>20</x:v>
      </x:c>
      <x:c r="K45" s="3">
        <x:v>39</x:v>
      </x:c>
      <x:c r="L45" s="3">
        <x:v>95</x:v>
      </x:c>
      <x:c r="M45" s="3">
        <x:v>133</x:v>
      </x:c>
      <x:c r="N45" s="3">
        <x:v>192</x:v>
      </x:c>
      <x:c r="O45" s="3">
        <x:v>347</x:v>
      </x:c>
      <x:c r="P45" s="3">
        <x:v>444</x:v>
      </x:c>
      <x:c r="Q45" s="3">
        <x:v>1012</x:v>
      </x:c>
      <x:c r="R45" s="3">
        <x:v>1518</x:v>
      </x:c>
      <x:c r="S45" s="3">
        <x:v>2492</x:v>
      </x:c>
      <x:c r="T45" s="3">
        <x:v>0</x:v>
      </x:c>
      <x:c r="U45" s="3">
        <x:v>0</x:v>
      </x:c>
      <x:c r="V45" s="3">
        <x:v>0</x:v>
      </x:c>
      <x:c r="W45" s="3">
        <x:v>2</x:v>
      </x:c>
      <x:c r="X45" s="3">
        <x:v>0</x:v>
      </x:c>
      <x:c r="Y45" s="3">
        <x:v>0</x:v>
      </x:c>
      <x:c r="Z45" s="3">
        <x:v>4</x:v>
      </x:c>
      <x:c r="AA45" s="3">
        <x:v>8</x:v>
      </x:c>
      <x:c r="AB45" s="3">
        <x:v>5</x:v>
      </x:c>
      <x:c r="AC45" s="3">
        <x:v>14</x:v>
      </x:c>
      <x:c r="AD45" s="3">
        <x:v>30</x:v>
      </x:c>
      <x:c r="AE45" s="3">
        <x:v>54</x:v>
      </x:c>
      <x:c r="AF45" s="3">
        <x:v>89</x:v>
      </x:c>
      <x:c r="AG45" s="3">
        <x:v>154</x:v>
      </x:c>
      <x:c r="AH45" s="3">
        <x:v>269</x:v>
      </x:c>
      <x:c r="AJ45" s="3">
        <x:v>1665</x:v>
      </x:c>
      <x:c r="AK45" s="3">
        <x:v>5488</x:v>
      </x:c>
      <x:c r="AL45" t="n">
        <x:f>Tabelle2[[#This Row],[1 jahre Weiblich]]+Tabelle2[[#This Row],[unter 1 Jahr Männlich]]</x:f>
        <x:v>0</x:v>
      </x:c>
      <x:c r="AM45" t="n">
        <x:f>Tabelle2[[#This Row],[1-15 Jahre Weiblich]]+Tabelle2[[#This Row],[1-15 jahre Mänlich]]</x:f>
        <x:v>2</x:v>
      </x:c>
      <x:c r="AN45" t="n">
        <x:f>Tabelle2[[#This Row],[15-20 Jahre Weiblich]]+Tabelle2[[#This Row],[15-20 jahre Männlich]]</x:f>
        <x:v>3</x:v>
      </x:c>
      <x:c r="AO45" t="n">
        <x:f>Tabelle2[[#This Row],[20-25 jahre weiblich]]+Tabelle2[[#This Row],[20-25 jahre Männlich]]</x:f>
        <x:v>5</x:v>
      </x:c>
      <x:c r="AP45" t="n">
        <x:f>Tabelle2[[#This Row],[25-30 Jahre Weiblich]]+Tabelle2[[#This Row],[25-30 jahre Männlich]]</x:f>
        <x:v>9</x:v>
      </x:c>
      <x:c r="AQ45" t="n">
        <x:f>Tabelle2[[#This Row],[30-35 Jahre Weiblich]]+Tabelle2[[#This Row],[30-35 jahre Männlich]]</x:f>
        <x:v>13</x:v>
      </x:c>
      <x:c r="AR45" t="n">
        <x:f>Tabelle2[[#This Row],[35-40 Jahre Weiblich]]+Tabelle2[[#This Row],[35-40 jahre  Männlich]]</x:f>
        <x:v>15</x:v>
      </x:c>
      <x:c r="AS45" t="n">
        <x:f>Tabelle2[[#This Row],[40-45 Jahre Weiblich]]+Tabelle2[[#This Row],[40-45 jahre Männlich]]</x:f>
        <x:v>25</x:v>
      </x:c>
      <x:c r="AT45" t="n">
        <x:f>Tabelle2[[#This Row],[45-50 Jahre Weiblich]]+Tabelle2[[#This Row],[45-50 jahre Männlich]]</x:f>
        <x:v>53</x:v>
      </x:c>
      <x:c r="AU45" t="n">
        <x:f>Tabelle2[[#This Row],[50-55 Jahre Weiblich]]+Tabelle2[[#This Row],[50-55 jahre Männlich]]</x:f>
        <x:v>125</x:v>
      </x:c>
      <x:c r="AV45" t="n">
        <x:f>Tabelle2[[#This Row],[55-60 Jahre Weiblich]]+Tabelle2[[#This Row],[55-60 jahre Männlich]]</x:f>
        <x:v>187</x:v>
      </x:c>
      <x:c r="AW45" t="n">
        <x:f>Tabelle2[[#This Row],[60-65 Jahre Weiblich]]+Tabelle2[[#This Row],[60-65 jahre Männlich]]</x:f>
        <x:v>281</x:v>
      </x:c>
      <x:c r="AX45" t="n">
        <x:f>Tabelle2[[#This Row],[65-70 Jahre Weiblich]]+Tabelle2[[#This Row],[65-70 Jahre  Männlich]]</x:f>
        <x:v>501</x:v>
      </x:c>
      <x:c r="AY45" t="n">
        <x:f>Tabelle2[[#This Row],[70-75Jahre Weiblich]]+Tabelle2[[#This Row],[70-75 jahre Männlch]]</x:f>
        <x:v>713</x:v>
      </x:c>
      <x:c r="AZ45" t="e">
        <x:f>Tabelle2[[#This Row],[75-80 Jahre Weiblich]]+Tabelle2[[#This Row],[75-80 jahre Männlich]]</x:f>
      </x:c>
      <x:c r="BA45" t="n">
        <x:f>Tabelle2[[#This Row],[80-85 Jahre Weiblich]]+Tabelle2[[#This Row],[80-85 jahre Männlich]]</x:f>
        <x:v>3183</x:v>
      </x:c>
      <x:c r="BB45" t="n">
        <x:f>Tabelle2[[#This Row],[85 und mehr Weiblich]]+Tabelle2[[#This Row],[85 und mehr]]</x:f>
        <x:v>7980</x:v>
      </x:c>
    </x:row>
    <x:row r="46">
      <x:c r="A46" s="1" t="s">
        <x:v>54</x:v>
      </x:c>
      <x:c r="B46" s="2" t="s">
        <x:v>86</x:v>
      </x:c>
      <x:c r="C46" s="3">
        <x:v>2</x:v>
      </x:c>
      <x:c r="D46" s="3">
        <x:v>6</x:v>
      </x:c>
      <x:c r="E46" s="3">
        <x:v>5</x:v>
      </x:c>
      <x:c r="F46" s="3">
        <x:v>7</x:v>
      </x:c>
      <x:c r="G46" s="3">
        <x:v>14</x:v>
      </x:c>
      <x:c r="H46" s="3">
        <x:v>26</x:v>
      </x:c>
      <x:c r="I46" s="3">
        <x:v>53</x:v>
      </x:c>
      <x:c r="J46" s="3">
        <x:v>89</x:v>
      </x:c>
      <x:c r="K46" s="3">
        <x:v>141</x:v>
      </x:c>
      <x:c r="L46" s="3">
        <x:v>363</x:v>
      </x:c>
      <x:c r="M46" s="3">
        <x:v>656</x:v>
      </x:c>
      <x:c r="N46" s="3">
        <x:v>1059</x:v>
      </x:c>
      <x:c r="O46" s="3">
        <x:v>1614</x:v>
      </x:c>
      <x:c r="P46" s="3">
        <x:v>2198</x:v>
      </x:c>
      <x:c r="Q46" s="3">
        <x:v>4303</x:v>
      </x:c>
      <x:c r="R46" s="3">
        <x:v>5617</x:v>
      </x:c>
      <x:c r="S46" s="3">
        <x:v>7606</x:v>
      </x:c>
      <x:c r="T46" s="3">
        <x:v>0</x:v>
      </x:c>
      <x:c r="U46" s="3">
        <x:v>3</x:v>
      </x:c>
      <x:c r="V46" s="3">
        <x:v>4</x:v>
      </x:c>
      <x:c r="W46" s="3">
        <x:v>2</x:v>
      </x:c>
      <x:c r="X46" s="3">
        <x:v>5</x:v>
      </x:c>
      <x:c r="Y46" s="3">
        <x:v>12</x:v>
      </x:c>
      <x:c r="Z46" s="3">
        <x:v>25</x:v>
      </x:c>
      <x:c r="AA46" s="3">
        <x:v>31</x:v>
      </x:c>
      <x:c r="AB46" s="3">
        <x:v>45</x:v>
      </x:c>
      <x:c r="AC46" s="3">
        <x:v>127</x:v>
      </x:c>
      <x:c r="AD46" s="3">
        <x:v>275</x:v>
      </x:c>
      <x:c r="AE46" s="3">
        <x:v>378</x:v>
      </x:c>
      <x:c r="AF46" s="3">
        <x:v>617</x:v>
      </x:c>
      <x:c r="AG46" s="3">
        <x:v>943</x:v>
      </x:c>
      <x:c r="AH46" s="3">
        <x:v>1477</x:v>
      </x:c>
      <x:c r="AJ46" s="3">
        <x:v>6337</x:v>
      </x:c>
      <x:c r="AK46" s="3">
        <x:v>17469</x:v>
      </x:c>
      <x:c r="AL46" t="n">
        <x:f>Tabelle2[[#This Row],[1 jahre Weiblich]]+Tabelle2[[#This Row],[unter 1 Jahr Männlich]]</x:f>
        <x:v>5</x:v>
      </x:c>
      <x:c r="AM46" t="n">
        <x:f>Tabelle2[[#This Row],[1-15 Jahre Weiblich]]+Tabelle2[[#This Row],[1-15 jahre Mänlich]]</x:f>
        <x:v>10</x:v>
      </x:c>
      <x:c r="AN46" t="n">
        <x:f>Tabelle2[[#This Row],[15-20 Jahre Weiblich]]+Tabelle2[[#This Row],[15-20 jahre Männlich]]</x:f>
        <x:v>7</x:v>
      </x:c>
      <x:c r="AO46" t="n">
        <x:f>Tabelle2[[#This Row],[20-25 jahre weiblich]]+Tabelle2[[#This Row],[20-25 jahre Männlich]]</x:f>
        <x:v>12</x:v>
      </x:c>
      <x:c r="AP46" t="n">
        <x:f>Tabelle2[[#This Row],[25-30 Jahre Weiblich]]+Tabelle2[[#This Row],[25-30 jahre Männlich]]</x:f>
        <x:v>26</x:v>
      </x:c>
      <x:c r="AQ46" t="n">
        <x:f>Tabelle2[[#This Row],[30-35 Jahre Weiblich]]+Tabelle2[[#This Row],[30-35 jahre Männlich]]</x:f>
        <x:v>51</x:v>
      </x:c>
      <x:c r="AR46" t="n">
        <x:f>Tabelle2[[#This Row],[35-40 Jahre Weiblich]]+Tabelle2[[#This Row],[35-40 jahre  Männlich]]</x:f>
        <x:v>84</x:v>
      </x:c>
      <x:c r="AS46" t="n">
        <x:f>Tabelle2[[#This Row],[40-45 Jahre Weiblich]]+Tabelle2[[#This Row],[40-45 jahre Männlich]]</x:f>
        <x:v>134</x:v>
      </x:c>
      <x:c r="AT46" t="n">
        <x:f>Tabelle2[[#This Row],[45-50 Jahre Weiblich]]+Tabelle2[[#This Row],[45-50 jahre Männlich]]</x:f>
        <x:v>268</x:v>
      </x:c>
      <x:c r="AU46" t="n">
        <x:f>Tabelle2[[#This Row],[50-55 Jahre Weiblich]]+Tabelle2[[#This Row],[50-55 jahre Männlich]]</x:f>
        <x:v>638</x:v>
      </x:c>
      <x:c r="AV46" t="n">
        <x:f>Tabelle2[[#This Row],[55-60 Jahre Weiblich]]+Tabelle2[[#This Row],[55-60 jahre Männlich]]</x:f>
        <x:v>1034</x:v>
      </x:c>
      <x:c r="AW46" t="n">
        <x:f>Tabelle2[[#This Row],[60-65 Jahre Weiblich]]+Tabelle2[[#This Row],[60-65 jahre Männlich]]</x:f>
        <x:v>1676</x:v>
      </x:c>
      <x:c r="AX46" t="n">
        <x:f>Tabelle2[[#This Row],[65-70 Jahre Weiblich]]+Tabelle2[[#This Row],[65-70 Jahre  Männlich]]</x:f>
        <x:v>2557</x:v>
      </x:c>
      <x:c r="AY46" t="n">
        <x:f>Tabelle2[[#This Row],[70-75Jahre Weiblich]]+Tabelle2[[#This Row],[70-75 jahre Männlch]]</x:f>
        <x:v>3675</x:v>
      </x:c>
      <x:c r="AZ46" t="e">
        <x:f>Tabelle2[[#This Row],[75-80 Jahre Weiblich]]+Tabelle2[[#This Row],[75-80 jahre Männlich]]</x:f>
      </x:c>
      <x:c r="BA46" t="n">
        <x:f>Tabelle2[[#This Row],[80-85 Jahre Weiblich]]+Tabelle2[[#This Row],[80-85 jahre Männlich]]</x:f>
        <x:v>11954</x:v>
      </x:c>
      <x:c r="BB46" t="n">
        <x:f>Tabelle2[[#This Row],[85 und mehr Weiblich]]+Tabelle2[[#This Row],[85 und mehr]]</x:f>
        <x:v>25075</x:v>
      </x:c>
    </x:row>
    <x:row r="47">
      <x:c r="A47" s="1" t="s">
        <x:v>54</x:v>
      </x:c>
      <x:c r="B47" s="2" t="s">
        <x:v>87</x:v>
      </x:c>
      <x:c r="C47" s="3">
        <x:v>0</x:v>
      </x:c>
      <x:c r="D47" s="3">
        <x:v>0</x:v>
      </x:c>
      <x:c r="E47" s="3">
        <x:v>0</x:v>
      </x:c>
      <x:c r="F47" s="3">
        <x:v>0</x:v>
      </x:c>
      <x:c r="G47" s="3">
        <x:v>1</x:v>
      </x:c>
      <x:c r="H47" s="3">
        <x:v>1</x:v>
      </x:c>
      <x:c r="I47" s="3">
        <x:v>0</x:v>
      </x:c>
      <x:c r="J47" s="3">
        <x:v>7</x:v>
      </x:c>
      <x:c r="K47" s="3">
        <x:v>9</x:v>
      </x:c>
      <x:c r="L47" s="3">
        <x:v>38</x:v>
      </x:c>
      <x:c r="M47" s="3">
        <x:v>68</x:v>
      </x:c>
      <x:c r="N47" s="3">
        <x:v>138</x:v>
      </x:c>
      <x:c r="O47" s="3">
        <x:v>246</x:v>
      </x:c>
      <x:c r="P47" s="3">
        <x:v>365</x:v>
      </x:c>
      <x:c r="Q47" s="3">
        <x:v>804</x:v>
      </x:c>
      <x:c r="R47" s="3">
        <x:v>1166</x:v>
      </x:c>
      <x:c r="S47" s="3">
        <x:v>1879</x:v>
      </x:c>
      <x:c r="T47" s="3">
        <x:v>0</x:v>
      </x:c>
      <x:c r="U47" s="3">
        <x:v>0</x:v>
      </x:c>
      <x:c r="V47" s="3">
        <x:v>0</x:v>
      </x:c>
      <x:c r="W47" s="3">
        <x:v>0</x:v>
      </x:c>
      <x:c r="X47" s="3">
        <x:v>0</x:v>
      </x:c>
      <x:c r="Y47" s="3">
        <x:v>0</x:v>
      </x:c>
      <x:c r="Z47" s="3">
        <x:v>0</x:v>
      </x:c>
      <x:c r="AA47" s="3">
        <x:v>1</x:v>
      </x:c>
      <x:c r="AB47" s="3">
        <x:v>2</x:v>
      </x:c>
      <x:c r="AC47" s="3">
        <x:v>6</x:v>
      </x:c>
      <x:c r="AD47" s="3">
        <x:v>16</x:v>
      </x:c>
      <x:c r="AE47" s="3">
        <x:v>30</x:v>
      </x:c>
      <x:c r="AF47" s="3">
        <x:v>90</x:v>
      </x:c>
      <x:c r="AG47" s="3">
        <x:v>124</x:v>
      </x:c>
      <x:c r="AH47" s="3">
        <x:v>238</x:v>
      </x:c>
      <x:c r="AJ47" s="3">
        <x:v>1382</x:v>
      </x:c>
      <x:c r="AK47" s="3">
        <x:v>4753</x:v>
      </x:c>
      <x:c r="AL47" t="n">
        <x:f>Tabelle2[[#This Row],[1 jahre Weiblich]]+Tabelle2[[#This Row],[unter 1 Jahr Männlich]]</x:f>
        <x:v>0</x:v>
      </x:c>
      <x:c r="AM47" t="n">
        <x:f>Tabelle2[[#This Row],[1-15 Jahre Weiblich]]+Tabelle2[[#This Row],[1-15 jahre Mänlich]]</x:f>
        <x:v>0</x:v>
      </x:c>
      <x:c r="AN47" t="n">
        <x:f>Tabelle2[[#This Row],[15-20 Jahre Weiblich]]+Tabelle2[[#This Row],[15-20 jahre Männlich]]</x:f>
        <x:v>0</x:v>
      </x:c>
      <x:c r="AO47" t="n">
        <x:f>Tabelle2[[#This Row],[20-25 jahre weiblich]]+Tabelle2[[#This Row],[20-25 jahre Männlich]]</x:f>
        <x:v>0</x:v>
      </x:c>
      <x:c r="AP47" t="n">
        <x:f>Tabelle2[[#This Row],[25-30 Jahre Weiblich]]+Tabelle2[[#This Row],[25-30 jahre Männlich]]</x:f>
        <x:v>1</x:v>
      </x:c>
      <x:c r="AQ47" t="n">
        <x:f>Tabelle2[[#This Row],[30-35 Jahre Weiblich]]+Tabelle2[[#This Row],[30-35 jahre Männlich]]</x:f>
        <x:v>1</x:v>
      </x:c>
      <x:c r="AR47" t="n">
        <x:f>Tabelle2[[#This Row],[35-40 Jahre Weiblich]]+Tabelle2[[#This Row],[35-40 jahre  Männlich]]</x:f>
        <x:v>1</x:v>
      </x:c>
      <x:c r="AS47" t="n">
        <x:f>Tabelle2[[#This Row],[40-45 Jahre Weiblich]]+Tabelle2[[#This Row],[40-45 jahre Männlich]]</x:f>
        <x:v>9</x:v>
      </x:c>
      <x:c r="AT47" t="n">
        <x:f>Tabelle2[[#This Row],[45-50 Jahre Weiblich]]+Tabelle2[[#This Row],[45-50 jahre Männlich]]</x:f>
        <x:v>15</x:v>
      </x:c>
      <x:c r="AU47" t="n">
        <x:f>Tabelle2[[#This Row],[50-55 Jahre Weiblich]]+Tabelle2[[#This Row],[50-55 jahre Männlich]]</x:f>
        <x:v>54</x:v>
      </x:c>
      <x:c r="AV47" t="n">
        <x:f>Tabelle2[[#This Row],[55-60 Jahre Weiblich]]+Tabelle2[[#This Row],[55-60 jahre Männlich]]</x:f>
        <x:v>98</x:v>
      </x:c>
      <x:c r="AW47" t="n">
        <x:f>Tabelle2[[#This Row],[60-65 Jahre Weiblich]]+Tabelle2[[#This Row],[60-65 jahre Männlich]]</x:f>
        <x:v>228</x:v>
      </x:c>
      <x:c r="AX47" t="n">
        <x:f>Tabelle2[[#This Row],[65-70 Jahre Weiblich]]+Tabelle2[[#This Row],[65-70 Jahre  Männlich]]</x:f>
        <x:v>370</x:v>
      </x:c>
      <x:c r="AY47" t="n">
        <x:f>Tabelle2[[#This Row],[70-75Jahre Weiblich]]+Tabelle2[[#This Row],[70-75 jahre Männlch]]</x:f>
        <x:v>603</x:v>
      </x:c>
      <x:c r="AZ47" t="e">
        <x:f>Tabelle2[[#This Row],[75-80 Jahre Weiblich]]+Tabelle2[[#This Row],[75-80 jahre Männlich]]</x:f>
      </x:c>
      <x:c r="BA47" t="n">
        <x:f>Tabelle2[[#This Row],[80-85 Jahre Weiblich]]+Tabelle2[[#This Row],[80-85 jahre Männlich]]</x:f>
        <x:v>2548</x:v>
      </x:c>
      <x:c r="BB47" t="n">
        <x:f>Tabelle2[[#This Row],[85 und mehr Weiblich]]+Tabelle2[[#This Row],[85 und mehr]]</x:f>
        <x:v>6632</x:v>
      </x:c>
    </x:row>
    <x:row r="48">
      <x:c r="A48" s="1" t="s">
        <x:v>54</x:v>
      </x:c>
      <x:c r="B48" s="2" t="s">
        <x:v>88</x:v>
      </x:c>
      <x:c r="C48" s="3">
        <x:v>0</x:v>
      </x:c>
      <x:c r="D48" s="3">
        <x:v>1</x:v>
      </x:c>
      <x:c r="E48" s="3">
        <x:v>1</x:v>
      </x:c>
      <x:c r="F48" s="3">
        <x:v>2</x:v>
      </x:c>
      <x:c r="G48" s="3">
        <x:v>6</x:v>
      </x:c>
      <x:c r="H48" s="3">
        <x:v>9</x:v>
      </x:c>
      <x:c r="I48" s="3">
        <x:v>25</x:v>
      </x:c>
      <x:c r="J48" s="3">
        <x:v>38</x:v>
      </x:c>
      <x:c r="K48" s="3">
        <x:v>91</x:v>
      </x:c>
      <x:c r="L48" s="3">
        <x:v>138</x:v>
      </x:c>
      <x:c r="M48" s="3">
        <x:v>307</x:v>
      </x:c>
      <x:c r="N48" s="3">
        <x:v>434</x:v>
      </x:c>
      <x:c r="O48" s="3">
        <x:v>608</x:v>
      </x:c>
      <x:c r="P48" s="3">
        <x:v>636</x:v>
      </x:c>
      <x:c r="Q48" s="3">
        <x:v>1156</x:v>
      </x:c>
      <x:c r="R48" s="3">
        <x:v>1203</x:v>
      </x:c>
      <x:c r="S48" s="3">
        <x:v>1771</x:v>
      </x:c>
      <x:c r="T48" s="3">
        <x:v>0</x:v>
      </x:c>
      <x:c r="U48" s="3">
        <x:v>0</x:v>
      </x:c>
      <x:c r="V48" s="3">
        <x:v>0</x:v>
      </x:c>
      <x:c r="W48" s="3">
        <x:v>0</x:v>
      </x:c>
      <x:c r="X48" s="3">
        <x:v>0</x:v>
      </x:c>
      <x:c r="Y48" s="3">
        <x:v>3</x:v>
      </x:c>
      <x:c r="Z48" s="3">
        <x:v>2</x:v>
      </x:c>
      <x:c r="AA48" s="3">
        <x:v>6</x:v>
      </x:c>
      <x:c r="AB48" s="3">
        <x:v>14</x:v>
      </x:c>
      <x:c r="AC48" s="3">
        <x:v>41</x:v>
      </x:c>
      <x:c r="AD48" s="3">
        <x:v>77</x:v>
      </x:c>
      <x:c r="AE48" s="3">
        <x:v>106</x:v>
      </x:c>
      <x:c r="AF48" s="3">
        <x:v>187</x:v>
      </x:c>
      <x:c r="AG48" s="3">
        <x:v>287</x:v>
      </x:c>
      <x:c r="AH48" s="3">
        <x:v>450</x:v>
      </x:c>
      <x:c r="AJ48" s="3">
        <x:v>1130</x:v>
      </x:c>
      <x:c r="AK48" s="3">
        <x:v>3403</x:v>
      </x:c>
      <x:c r="AL48" t="n">
        <x:f>Tabelle2[[#This Row],[1 jahre Weiblich]]+Tabelle2[[#This Row],[unter 1 Jahr Männlich]]</x:f>
        <x:v>0</x:v>
      </x:c>
      <x:c r="AM48" t="n">
        <x:f>Tabelle2[[#This Row],[1-15 Jahre Weiblich]]+Tabelle2[[#This Row],[1-15 jahre Mänlich]]</x:f>
        <x:v>1</x:v>
      </x:c>
      <x:c r="AN48" t="n">
        <x:f>Tabelle2[[#This Row],[15-20 Jahre Weiblich]]+Tabelle2[[#This Row],[15-20 jahre Männlich]]</x:f>
        <x:v>1</x:v>
      </x:c>
      <x:c r="AO48" t="n">
        <x:f>Tabelle2[[#This Row],[20-25 jahre weiblich]]+Tabelle2[[#This Row],[20-25 jahre Männlich]]</x:f>
        <x:v>2</x:v>
      </x:c>
      <x:c r="AP48" t="n">
        <x:f>Tabelle2[[#This Row],[25-30 Jahre Weiblich]]+Tabelle2[[#This Row],[25-30 jahre Männlich]]</x:f>
        <x:v>9</x:v>
      </x:c>
      <x:c r="AQ48" t="n">
        <x:f>Tabelle2[[#This Row],[30-35 Jahre Weiblich]]+Tabelle2[[#This Row],[30-35 jahre Männlich]]</x:f>
        <x:v>11</x:v>
      </x:c>
      <x:c r="AR48" t="n">
        <x:f>Tabelle2[[#This Row],[35-40 Jahre Weiblich]]+Tabelle2[[#This Row],[35-40 jahre  Männlich]]</x:f>
        <x:v>31</x:v>
      </x:c>
      <x:c r="AS48" t="n">
        <x:f>Tabelle2[[#This Row],[40-45 Jahre Weiblich]]+Tabelle2[[#This Row],[40-45 jahre Männlich]]</x:f>
        <x:v>52</x:v>
      </x:c>
      <x:c r="AT48" t="n">
        <x:f>Tabelle2[[#This Row],[45-50 Jahre Weiblich]]+Tabelle2[[#This Row],[45-50 jahre Männlich]]</x:f>
        <x:v>132</x:v>
      </x:c>
      <x:c r="AU48" t="n">
        <x:f>Tabelle2[[#This Row],[50-55 Jahre Weiblich]]+Tabelle2[[#This Row],[50-55 jahre Männlich]]</x:f>
        <x:v>215</x:v>
      </x:c>
      <x:c r="AV48" t="n">
        <x:f>Tabelle2[[#This Row],[55-60 Jahre Weiblich]]+Tabelle2[[#This Row],[55-60 jahre Männlich]]</x:f>
        <x:v>413</x:v>
      </x:c>
      <x:c r="AW48" t="n">
        <x:f>Tabelle2[[#This Row],[60-65 Jahre Weiblich]]+Tabelle2[[#This Row],[60-65 jahre Männlich]]</x:f>
        <x:v>621</x:v>
      </x:c>
      <x:c r="AX48" t="n">
        <x:f>Tabelle2[[#This Row],[65-70 Jahre Weiblich]]+Tabelle2[[#This Row],[65-70 Jahre  Männlich]]</x:f>
        <x:v>895</x:v>
      </x:c>
      <x:c r="AY48" t="n">
        <x:f>Tabelle2[[#This Row],[70-75Jahre Weiblich]]+Tabelle2[[#This Row],[70-75 jahre Männlch]]</x:f>
        <x:v>1086</x:v>
      </x:c>
      <x:c r="AZ48" t="e">
        <x:f>Tabelle2[[#This Row],[75-80 Jahre Weiblich]]+Tabelle2[[#This Row],[75-80 jahre Männlich]]</x:f>
      </x:c>
      <x:c r="BA48" t="n">
        <x:f>Tabelle2[[#This Row],[80-85 Jahre Weiblich]]+Tabelle2[[#This Row],[80-85 jahre Männlich]]</x:f>
        <x:v>2333</x:v>
      </x:c>
      <x:c r="BB48" t="n">
        <x:f>Tabelle2[[#This Row],[85 und mehr Weiblich]]+Tabelle2[[#This Row],[85 und mehr]]</x:f>
        <x:v>5174</x:v>
      </x:c>
    </x:row>
    <x:row r="49">
      <x:c r="A49" s="1" t="s">
        <x:v>54</x:v>
      </x:c>
      <x:c r="B49" s="2" t="str">
        <x:v>Atmungssystem</x:v>
      </x:c>
      <x:c r="C49" s="3">
        <x:v>16</x:v>
      </x:c>
      <x:c r="D49" s="3">
        <x:v>24</x:v>
      </x:c>
      <x:c r="E49" s="3">
        <x:v>12</x:v>
      </x:c>
      <x:c r="F49" s="3">
        <x:v>14</x:v>
      </x:c>
      <x:c r="G49" s="3">
        <x:v>23</x:v>
      </x:c>
      <x:c r="H49" s="3">
        <x:v>25</x:v>
      </x:c>
      <x:c r="I49" s="3">
        <x:v>51</x:v>
      </x:c>
      <x:c r="J49" s="3">
        <x:v>75</x:v>
      </x:c>
      <x:c r="K49" s="3">
        <x:v>231</x:v>
      </x:c>
      <x:c r="L49" s="3">
        <x:v>569</x:v>
      </x:c>
      <x:c r="M49" s="3">
        <x:v>1266</x:v>
      </x:c>
      <x:c r="N49" s="3">
        <x:v>2126</x:v>
      </x:c>
      <x:c r="O49" s="3">
        <x:v>3241</x:v>
      </x:c>
      <x:c r="P49" s="3">
        <x:v>4246</x:v>
      </x:c>
      <x:c r="Q49" s="3">
        <x:v>7188</x:v>
      </x:c>
      <x:c r="R49" s="3">
        <x:v>7962</x:v>
      </x:c>
      <x:c r="S49" s="3">
        <x:v>11184</x:v>
      </x:c>
      <x:c r="T49" s="3">
        <x:v>0</x:v>
      </x:c>
      <x:c r="U49" s="3">
        <x:v>11</x:v>
      </x:c>
      <x:c r="V49" s="3">
        <x:v>17</x:v>
      </x:c>
      <x:c r="W49" s="3">
        <x:v>3</x:v>
      </x:c>
      <x:c r="X49" s="3">
        <x:v>14</x:v>
      </x:c>
      <x:c r="Y49" s="3">
        <x:v>18</x:v>
      </x:c>
      <x:c r="Z49" s="3">
        <x:v>16</x:v>
      </x:c>
      <x:c r="AA49" s="3">
        <x:v>29</x:v>
      </x:c>
      <x:c r="AB49" s="3">
        <x:v>49</x:v>
      </x:c>
      <x:c r="AC49" s="3">
        <x:v>125</x:v>
      </x:c>
      <x:c r="AD49" s="3">
        <x:v>341</x:v>
      </x:c>
      <x:c r="AE49" s="3">
        <x:v>744</x:v>
      </x:c>
      <x:c r="AF49" s="3">
        <x:v>1375</x:v>
      </x:c>
      <x:c r="AG49" s="3">
        <x:v>2190</x:v>
      </x:c>
      <x:c r="AH49" s="3">
        <x:v>2799</x:v>
      </x:c>
      <x:c r="AJ49" s="3">
        <x:v>6275</x:v>
      </x:c>
      <x:c r="AK49" s="3">
        <x:v>14774</x:v>
      </x:c>
      <x:c r="AL49" t="n">
        <x:f>Tabelle2[[#This Row],[1 jahre Weiblich]]+Tabelle2[[#This Row],[unter 1 Jahr Männlich]]</x:f>
        <x:v>27</x:v>
      </x:c>
      <x:c r="AM49" t="n">
        <x:f>Tabelle2[[#This Row],[1-15 Jahre Weiblich]]+Tabelle2[[#This Row],[1-15 jahre Mänlich]]</x:f>
        <x:v>41</x:v>
      </x:c>
      <x:c r="AN49" t="n">
        <x:f>Tabelle2[[#This Row],[15-20 Jahre Weiblich]]+Tabelle2[[#This Row],[15-20 jahre Männlich]]</x:f>
        <x:v>15</x:v>
      </x:c>
      <x:c r="AO49" t="n">
        <x:f>Tabelle2[[#This Row],[20-25 jahre weiblich]]+Tabelle2[[#This Row],[20-25 jahre Männlich]]</x:f>
        <x:v>28</x:v>
      </x:c>
      <x:c r="AP49" t="n">
        <x:f>Tabelle2[[#This Row],[25-30 Jahre Weiblich]]+Tabelle2[[#This Row],[25-30 jahre Männlich]]</x:f>
        <x:v>41</x:v>
      </x:c>
      <x:c r="AQ49" t="n">
        <x:f>Tabelle2[[#This Row],[30-35 Jahre Weiblich]]+Tabelle2[[#This Row],[30-35 jahre Männlich]]</x:f>
        <x:v>41</x:v>
      </x:c>
      <x:c r="AR49" t="n">
        <x:f>Tabelle2[[#This Row],[35-40 Jahre Weiblich]]+Tabelle2[[#This Row],[35-40 jahre  Männlich]]</x:f>
        <x:v>80</x:v>
      </x:c>
      <x:c r="AS49" t="n">
        <x:f>Tabelle2[[#This Row],[40-45 Jahre Weiblich]]+Tabelle2[[#This Row],[40-45 jahre Männlich]]</x:f>
        <x:v>124</x:v>
      </x:c>
      <x:c r="AT49" t="n">
        <x:f>Tabelle2[[#This Row],[45-50 Jahre Weiblich]]+Tabelle2[[#This Row],[45-50 jahre Männlich]]</x:f>
        <x:v>356</x:v>
      </x:c>
      <x:c r="AU49" t="n">
        <x:f>Tabelle2[[#This Row],[50-55 Jahre Weiblich]]+Tabelle2[[#This Row],[50-55 jahre Männlich]]</x:f>
        <x:v>910</x:v>
      </x:c>
      <x:c r="AV49" t="n">
        <x:f>Tabelle2[[#This Row],[55-60 Jahre Weiblich]]+Tabelle2[[#This Row],[55-60 jahre Männlich]]</x:f>
        <x:v>2010</x:v>
      </x:c>
      <x:c r="AW49" t="n">
        <x:f>Tabelle2[[#This Row],[60-65 Jahre Weiblich]]+Tabelle2[[#This Row],[60-65 jahre Männlich]]</x:f>
        <x:v>3501</x:v>
      </x:c>
      <x:c r="AX49" t="n">
        <x:f>Tabelle2[[#This Row],[65-70 Jahre Weiblich]]+Tabelle2[[#This Row],[65-70 Jahre  Männlich]]</x:f>
        <x:v>5431</x:v>
      </x:c>
      <x:c r="AY49" t="n">
        <x:f>Tabelle2[[#This Row],[70-75Jahre Weiblich]]+Tabelle2[[#This Row],[70-75 jahre Männlch]]</x:f>
        <x:v>7045</x:v>
      </x:c>
      <x:c r="AZ49" t="e">
        <x:f>Tabelle2[[#This Row],[75-80 Jahre Weiblich]]+Tabelle2[[#This Row],[75-80 jahre Männlich]]</x:f>
      </x:c>
      <x:c r="BA49" t="n">
        <x:f>Tabelle2[[#This Row],[80-85 Jahre Weiblich]]+Tabelle2[[#This Row],[80-85 jahre Männlich]]</x:f>
        <x:v>14237</x:v>
      </x:c>
      <x:c r="BB49" t="n">
        <x:f>Tabelle2[[#This Row],[85 und mehr Weiblich]]+Tabelle2[[#This Row],[85 und mehr]]</x:f>
        <x:v>25958</x:v>
      </x:c>
    </x:row>
    <x:row r="50">
      <x:c r="A50" s="1" t="s">
        <x:v>54</x:v>
      </x:c>
      <x:c r="B50" s="2" t="s">
        <x:v>89</x:v>
      </x:c>
      <x:c r="C50" s="3">
        <x:v>1</x:v>
      </x:c>
      <x:c r="D50" s="3">
        <x:v>7</x:v>
      </x:c>
      <x:c r="E50" s="3">
        <x:v>3</x:v>
      </x:c>
      <x:c r="F50" s="3">
        <x:v>2</x:v>
      </x:c>
      <x:c r="G50" s="3">
        <x:v>1</x:v>
      </x:c>
      <x:c r="H50" s="3">
        <x:v>3</x:v>
      </x:c>
      <x:c r="I50" s="3">
        <x:v>9</x:v>
      </x:c>
      <x:c r="J50" s="3">
        <x:v>7</x:v>
      </x:c>
      <x:c r="K50" s="3">
        <x:v>35</x:v>
      </x:c>
      <x:c r="L50" s="3">
        <x:v>56</x:v>
      </x:c>
      <x:c r="M50" s="3">
        <x:v>84</x:v>
      </x:c>
      <x:c r="N50" s="3">
        <x:v>103</x:v>
      </x:c>
      <x:c r="O50" s="3">
        <x:v>127</x:v>
      </x:c>
      <x:c r="P50" s="3">
        <x:v>150</x:v>
      </x:c>
      <x:c r="Q50" s="3">
        <x:v>266</x:v>
      </x:c>
      <x:c r="R50" s="3">
        <x:v>259</x:v>
      </x:c>
      <x:c r="S50" s="3">
        <x:v>415</x:v>
      </x:c>
      <x:c r="T50" s="3">
        <x:v>0</x:v>
      </x:c>
      <x:c r="U50" s="3">
        <x:v>0</x:v>
      </x:c>
      <x:c r="V50" s="3">
        <x:v>9</x:v>
      </x:c>
      <x:c r="W50" s="3">
        <x:v>2</x:v>
      </x:c>
      <x:c r="X50" s="3">
        <x:v>4</x:v>
      </x:c>
      <x:c r="Y50" s="3">
        <x:v>3</x:v>
      </x:c>
      <x:c r="Z50" s="3">
        <x:v>5</x:v>
      </x:c>
      <x:c r="AA50" s="3">
        <x:v>7</x:v>
      </x:c>
      <x:c r="AB50" s="3">
        <x:v>10</x:v>
      </x:c>
      <x:c r="AC50" s="3">
        <x:v>19</x:v>
      </x:c>
      <x:c r="AD50" s="3">
        <x:v>21</x:v>
      </x:c>
      <x:c r="AE50" s="3">
        <x:v>40</x:v>
      </x:c>
      <x:c r="AF50" s="3">
        <x:v>68</x:v>
      </x:c>
      <x:c r="AG50" s="3">
        <x:v>82</x:v>
      </x:c>
      <x:c r="AH50" s="3">
        <x:v>99</x:v>
      </x:c>
      <x:c r="AJ50" s="3">
        <x:v>280</x:v>
      </x:c>
      <x:c r="AK50" s="3">
        <x:v>660</x:v>
      </x:c>
      <x:c r="AL50" t="n">
        <x:f>Tabelle2[[#This Row],[1 jahre Weiblich]]+Tabelle2[[#This Row],[unter 1 Jahr Männlich]]</x:f>
        <x:v>1</x:v>
      </x:c>
      <x:c r="AM50" t="n">
        <x:f>Tabelle2[[#This Row],[1-15 Jahre Weiblich]]+Tabelle2[[#This Row],[1-15 jahre Mänlich]]</x:f>
        <x:v>16</x:v>
      </x:c>
      <x:c r="AN50" t="n">
        <x:f>Tabelle2[[#This Row],[15-20 Jahre Weiblich]]+Tabelle2[[#This Row],[15-20 jahre Männlich]]</x:f>
        <x:v>5</x:v>
      </x:c>
      <x:c r="AO50" t="n">
        <x:f>Tabelle2[[#This Row],[20-25 jahre weiblich]]+Tabelle2[[#This Row],[20-25 jahre Männlich]]</x:f>
        <x:v>6</x:v>
      </x:c>
      <x:c r="AP50" t="n">
        <x:f>Tabelle2[[#This Row],[25-30 Jahre Weiblich]]+Tabelle2[[#This Row],[25-30 jahre Männlich]]</x:f>
        <x:v>4</x:v>
      </x:c>
      <x:c r="AQ50" t="n">
        <x:f>Tabelle2[[#This Row],[30-35 Jahre Weiblich]]+Tabelle2[[#This Row],[30-35 jahre Männlich]]</x:f>
        <x:v>8</x:v>
      </x:c>
      <x:c r="AR50" t="n">
        <x:f>Tabelle2[[#This Row],[35-40 Jahre Weiblich]]+Tabelle2[[#This Row],[35-40 jahre  Männlich]]</x:f>
        <x:v>16</x:v>
      </x:c>
      <x:c r="AS50" t="n">
        <x:f>Tabelle2[[#This Row],[40-45 Jahre Weiblich]]+Tabelle2[[#This Row],[40-45 jahre Männlich]]</x:f>
        <x:v>17</x:v>
      </x:c>
      <x:c r="AT50" t="n">
        <x:f>Tabelle2[[#This Row],[45-50 Jahre Weiblich]]+Tabelle2[[#This Row],[45-50 jahre Männlich]]</x:f>
        <x:v>54</x:v>
      </x:c>
      <x:c r="AU50" t="n">
        <x:f>Tabelle2[[#This Row],[50-55 Jahre Weiblich]]+Tabelle2[[#This Row],[50-55 jahre Männlich]]</x:f>
        <x:v>77</x:v>
      </x:c>
      <x:c r="AV50" t="n">
        <x:f>Tabelle2[[#This Row],[55-60 Jahre Weiblich]]+Tabelle2[[#This Row],[55-60 jahre Männlich]]</x:f>
        <x:v>124</x:v>
      </x:c>
      <x:c r="AW50" t="n">
        <x:f>Tabelle2[[#This Row],[60-65 Jahre Weiblich]]+Tabelle2[[#This Row],[60-65 jahre Männlich]]</x:f>
        <x:v>171</x:v>
      </x:c>
      <x:c r="AX50" t="n">
        <x:f>Tabelle2[[#This Row],[65-70 Jahre Weiblich]]+Tabelle2[[#This Row],[65-70 Jahre  Männlich]]</x:f>
        <x:v>209</x:v>
      </x:c>
      <x:c r="AY50" t="n">
        <x:f>Tabelle2[[#This Row],[70-75Jahre Weiblich]]+Tabelle2[[#This Row],[70-75 jahre Männlch]]</x:f>
        <x:v>249</x:v>
      </x:c>
      <x:c r="AZ50" t="e">
        <x:f>Tabelle2[[#This Row],[75-80 Jahre Weiblich]]+Tabelle2[[#This Row],[75-80 jahre Männlich]]</x:f>
      </x:c>
      <x:c r="BA50" t="n">
        <x:f>Tabelle2[[#This Row],[80-85 Jahre Weiblich]]+Tabelle2[[#This Row],[80-85 jahre Männlich]]</x:f>
        <x:v>539</x:v>
      </x:c>
      <x:c r="BB50" t="n">
        <x:f>Tabelle2[[#This Row],[85 und mehr Weiblich]]+Tabelle2[[#This Row],[85 und mehr]]</x:f>
        <x:v>1075</x:v>
      </x:c>
    </x:row>
    <x:row r="51">
      <x:c r="A51" s="1" t="s">
        <x:v>54</x:v>
      </x:c>
      <x:c r="B51" s="2" t="s">
        <x:v>90</x:v>
      </x:c>
      <x:c r="C51" s="3">
        <x:v>7</x:v>
      </x:c>
      <x:c r="D51" s="3">
        <x:v>6</x:v>
      </x:c>
      <x:c r="E51" s="3">
        <x:v>4</x:v>
      </x:c>
      <x:c r="F51" s="3">
        <x:v>7</x:v>
      </x:c>
      <x:c r="G51" s="3">
        <x:v>8</x:v>
      </x:c>
      <x:c r="H51" s="3">
        <x:v>8</x:v>
      </x:c>
      <x:c r="I51" s="3">
        <x:v>9</x:v>
      </x:c>
      <x:c r="J51" s="3">
        <x:v>20</x:v>
      </x:c>
      <x:c r="K51" s="3">
        <x:v>59</x:v>
      </x:c>
      <x:c r="L51" s="3">
        <x:v>112</x:v>
      </x:c>
      <x:c r="M51" s="3">
        <x:v>249</x:v>
      </x:c>
      <x:c r="N51" s="3">
        <x:v>315</x:v>
      </x:c>
      <x:c r="O51" s="3">
        <x:v>545</x:v>
      </x:c>
      <x:c r="P51" s="3">
        <x:v>728</x:v>
      </x:c>
      <x:c r="Q51" s="3">
        <x:v>1639</x:v>
      </x:c>
      <x:c r="R51" s="3">
        <x:v>2323</x:v>
      </x:c>
      <x:c r="S51" s="3">
        <x:v>4209</x:v>
      </x:c>
      <x:c r="T51" s="3">
        <x:v>0</x:v>
      </x:c>
      <x:c r="U51" s="3">
        <x:v>4</x:v>
      </x:c>
      <x:c r="V51" s="3">
        <x:v>1</x:v>
      </x:c>
      <x:c r="W51" s="3">
        <x:v>1</x:v>
      </x:c>
      <x:c r="X51" s="3">
        <x:v>3</x:v>
      </x:c>
      <x:c r="Y51" s="3">
        <x:v>8</x:v>
      </x:c>
      <x:c r="Z51" s="3">
        <x:v>3</x:v>
      </x:c>
      <x:c r="AA51" s="3">
        <x:v>7</x:v>
      </x:c>
      <x:c r="AB51" s="3">
        <x:v>11</x:v>
      </x:c>
      <x:c r="AC51" s="3">
        <x:v>30</x:v>
      </x:c>
      <x:c r="AD51" s="3">
        <x:v>50</x:v>
      </x:c>
      <x:c r="AE51" s="3">
        <x:v>108</x:v>
      </x:c>
      <x:c r="AF51" s="3">
        <x:v>152</x:v>
      </x:c>
      <x:c r="AG51" s="3">
        <x:v>255</x:v>
      </x:c>
      <x:c r="AH51" s="3">
        <x:v>389</x:v>
      </x:c>
      <x:c r="AJ51" s="3">
        <x:v>1788</x:v>
      </x:c>
      <x:c r="AK51" s="3">
        <x:v>6199</x:v>
      </x:c>
      <x:c r="AL51" t="n">
        <x:f>Tabelle2[[#This Row],[1 jahre Weiblich]]+Tabelle2[[#This Row],[unter 1 Jahr Männlich]]</x:f>
        <x:v>11</x:v>
      </x:c>
      <x:c r="AM51" t="n">
        <x:f>Tabelle2[[#This Row],[1-15 Jahre Weiblich]]+Tabelle2[[#This Row],[1-15 jahre Mänlich]]</x:f>
        <x:v>7</x:v>
      </x:c>
      <x:c r="AN51" t="n">
        <x:f>Tabelle2[[#This Row],[15-20 Jahre Weiblich]]+Tabelle2[[#This Row],[15-20 jahre Männlich]]</x:f>
        <x:v>5</x:v>
      </x:c>
      <x:c r="AO51" t="n">
        <x:f>Tabelle2[[#This Row],[20-25 jahre weiblich]]+Tabelle2[[#This Row],[20-25 jahre Männlich]]</x:f>
        <x:v>10</x:v>
      </x:c>
      <x:c r="AP51" t="n">
        <x:f>Tabelle2[[#This Row],[25-30 Jahre Weiblich]]+Tabelle2[[#This Row],[25-30 jahre Männlich]]</x:f>
        <x:v>16</x:v>
      </x:c>
      <x:c r="AQ51" t="n">
        <x:f>Tabelle2[[#This Row],[30-35 Jahre Weiblich]]+Tabelle2[[#This Row],[30-35 jahre Männlich]]</x:f>
        <x:v>11</x:v>
      </x:c>
      <x:c r="AR51" t="n">
        <x:f>Tabelle2[[#This Row],[35-40 Jahre Weiblich]]+Tabelle2[[#This Row],[35-40 jahre  Männlich]]</x:f>
        <x:v>16</x:v>
      </x:c>
      <x:c r="AS51" t="n">
        <x:f>Tabelle2[[#This Row],[40-45 Jahre Weiblich]]+Tabelle2[[#This Row],[40-45 jahre Männlich]]</x:f>
        <x:v>31</x:v>
      </x:c>
      <x:c r="AT51" t="n">
        <x:f>Tabelle2[[#This Row],[45-50 Jahre Weiblich]]+Tabelle2[[#This Row],[45-50 jahre Männlich]]</x:f>
        <x:v>89</x:v>
      </x:c>
      <x:c r="AU51" t="n">
        <x:f>Tabelle2[[#This Row],[50-55 Jahre Weiblich]]+Tabelle2[[#This Row],[50-55 jahre Männlich]]</x:f>
        <x:v>162</x:v>
      </x:c>
      <x:c r="AV51" t="n">
        <x:f>Tabelle2[[#This Row],[55-60 Jahre Weiblich]]+Tabelle2[[#This Row],[55-60 jahre Männlich]]</x:f>
        <x:v>357</x:v>
      </x:c>
      <x:c r="AW51" t="n">
        <x:f>Tabelle2[[#This Row],[60-65 Jahre Weiblich]]+Tabelle2[[#This Row],[60-65 jahre Männlich]]</x:f>
        <x:v>467</x:v>
      </x:c>
      <x:c r="AX51" t="n">
        <x:f>Tabelle2[[#This Row],[65-70 Jahre Weiblich]]+Tabelle2[[#This Row],[65-70 Jahre  Männlich]]</x:f>
        <x:v>800</x:v>
      </x:c>
      <x:c r="AY51" t="n">
        <x:f>Tabelle2[[#This Row],[70-75Jahre Weiblich]]+Tabelle2[[#This Row],[70-75 jahre Männlch]]</x:f>
        <x:v>1117</x:v>
      </x:c>
      <x:c r="AZ51" t="e">
        <x:f>Tabelle2[[#This Row],[75-80 Jahre Weiblich]]+Tabelle2[[#This Row],[75-80 jahre Männlich]]</x:f>
      </x:c>
      <x:c r="BA51" t="n">
        <x:f>Tabelle2[[#This Row],[80-85 Jahre Weiblich]]+Tabelle2[[#This Row],[80-85 jahre Männlich]]</x:f>
        <x:v>4111</x:v>
      </x:c>
      <x:c r="BB51" t="n">
        <x:f>Tabelle2[[#This Row],[85 und mehr Weiblich]]+Tabelle2[[#This Row],[85 und mehr]]</x:f>
        <x:v>10408</x:v>
      </x:c>
    </x:row>
    <x:row r="52">
      <x:c r="A52" s="1" t="s">
        <x:v>54</x:v>
      </x:c>
      <x:c r="B52" s="2" t="s">
        <x:v>91</x:v>
      </x:c>
      <x:c r="C52" s="3">
        <x:v>1</x:v>
      </x:c>
      <x:c r="D52" s="3">
        <x:v>3</x:v>
      </x:c>
      <x:c r="E52" s="3">
        <x:v>0</x:v>
      </x:c>
      <x:c r="F52" s="3">
        <x:v>0</x:v>
      </x:c>
      <x:c r="G52" s="3">
        <x:v>3</x:v>
      </x:c>
      <x:c r="H52" s="3">
        <x:v>6</x:v>
      </x:c>
      <x:c r="I52" s="3">
        <x:v>15</x:v>
      </x:c>
      <x:c r="J52" s="3">
        <x:v>28</x:v>
      </x:c>
      <x:c r="K52" s="3">
        <x:v>85</x:v>
      </x:c>
      <x:c r="L52" s="3">
        <x:v>304</x:v>
      </x:c>
      <x:c r="M52" s="3">
        <x:v>753</x:v>
      </x:c>
      <x:c r="N52" s="3">
        <x:v>1365</x:v>
      </x:c>
      <x:c r="O52" s="3">
        <x:v>2121</x:v>
      </x:c>
      <x:c r="P52" s="3">
        <x:v>2699</x:v>
      </x:c>
      <x:c r="Q52" s="3">
        <x:v>3949</x:v>
      </x:c>
      <x:c r="R52" s="3">
        <x:v>3778</x:v>
      </x:c>
      <x:c r="S52" s="3">
        <x:v>4451</x:v>
      </x:c>
      <x:c r="T52" s="3">
        <x:v>0</x:v>
      </x:c>
      <x:c r="U52" s="3">
        <x:v>1</x:v>
      </x:c>
      <x:c r="V52" s="3">
        <x:v>0</x:v>
      </x:c>
      <x:c r="W52" s="3">
        <x:v>0</x:v>
      </x:c>
      <x:c r="X52" s="3">
        <x:v>3</x:v>
      </x:c>
      <x:c r="Y52" s="3">
        <x:v>2</x:v>
      </x:c>
      <x:c r="Z52" s="3">
        <x:v>3</x:v>
      </x:c>
      <x:c r="AA52" s="3">
        <x:v>6</x:v>
      </x:c>
      <x:c r="AB52" s="3">
        <x:v>12</x:v>
      </x:c>
      <x:c r="AC52" s="3">
        <x:v>48</x:v>
      </x:c>
      <x:c r="AD52" s="3">
        <x:v>211</x:v>
      </x:c>
      <x:c r="AE52" s="3">
        <x:v>513</x:v>
      </x:c>
      <x:c r="AF52" s="3">
        <x:v>1020</x:v>
      </x:c>
      <x:c r="AG52" s="3">
        <x:v>1641</x:v>
      </x:c>
      <x:c r="AH52" s="3">
        <x:v>2011</x:v>
      </x:c>
      <x:c r="AJ52" s="3">
        <x:v>3139</x:v>
      </x:c>
      <x:c r="AK52" s="3">
        <x:v>5400</x:v>
      </x:c>
      <x:c r="AL52" t="n">
        <x:f>Tabelle2[[#This Row],[1 jahre Weiblich]]+Tabelle2[[#This Row],[unter 1 Jahr Männlich]]</x:f>
        <x:v>2</x:v>
      </x:c>
      <x:c r="AM52" t="n">
        <x:f>Tabelle2[[#This Row],[1-15 Jahre Weiblich]]+Tabelle2[[#This Row],[1-15 jahre Mänlich]]</x:f>
        <x:v>3</x:v>
      </x:c>
      <x:c r="AN52" t="n">
        <x:f>Tabelle2[[#This Row],[15-20 Jahre Weiblich]]+Tabelle2[[#This Row],[15-20 jahre Männlich]]</x:f>
        <x:v>0</x:v>
      </x:c>
      <x:c r="AO52" t="n">
        <x:f>Tabelle2[[#This Row],[20-25 jahre weiblich]]+Tabelle2[[#This Row],[20-25 jahre Männlich]]</x:f>
        <x:v>3</x:v>
      </x:c>
      <x:c r="AP52" t="n">
        <x:f>Tabelle2[[#This Row],[25-30 Jahre Weiblich]]+Tabelle2[[#This Row],[25-30 jahre Männlich]]</x:f>
        <x:v>5</x:v>
      </x:c>
      <x:c r="AQ52" t="n">
        <x:f>Tabelle2[[#This Row],[30-35 Jahre Weiblich]]+Tabelle2[[#This Row],[30-35 jahre Männlich]]</x:f>
        <x:v>9</x:v>
      </x:c>
      <x:c r="AR52" t="n">
        <x:f>Tabelle2[[#This Row],[35-40 Jahre Weiblich]]+Tabelle2[[#This Row],[35-40 jahre  Männlich]]</x:f>
        <x:v>21</x:v>
      </x:c>
      <x:c r="AS52" t="n">
        <x:f>Tabelle2[[#This Row],[40-45 Jahre Weiblich]]+Tabelle2[[#This Row],[40-45 jahre Männlich]]</x:f>
        <x:v>40</x:v>
      </x:c>
      <x:c r="AT52" t="n">
        <x:f>Tabelle2[[#This Row],[45-50 Jahre Weiblich]]+Tabelle2[[#This Row],[45-50 jahre Männlich]]</x:f>
        <x:v>133</x:v>
      </x:c>
      <x:c r="AU52" t="n">
        <x:f>Tabelle2[[#This Row],[50-55 Jahre Weiblich]]+Tabelle2[[#This Row],[50-55 jahre Männlich]]</x:f>
        <x:v>515</x:v>
      </x:c>
      <x:c r="AV52" t="n">
        <x:f>Tabelle2[[#This Row],[55-60 Jahre Weiblich]]+Tabelle2[[#This Row],[55-60 jahre Männlich]]</x:f>
        <x:v>1266</x:v>
      </x:c>
      <x:c r="AW52" t="n">
        <x:f>Tabelle2[[#This Row],[60-65 Jahre Weiblich]]+Tabelle2[[#This Row],[60-65 jahre Männlich]]</x:f>
        <x:v>2385</x:v>
      </x:c>
      <x:c r="AX52" t="n">
        <x:f>Tabelle2[[#This Row],[65-70 Jahre Weiblich]]+Tabelle2[[#This Row],[65-70 Jahre  Männlich]]</x:f>
        <x:v>3762</x:v>
      </x:c>
      <x:c r="AY52" t="n">
        <x:f>Tabelle2[[#This Row],[70-75Jahre Weiblich]]+Tabelle2[[#This Row],[70-75 jahre Männlch]]</x:f>
        <x:v>4710</x:v>
      </x:c>
      <x:c r="AZ52" t="e">
        <x:f>Tabelle2[[#This Row],[75-80 Jahre Weiblich]]+Tabelle2[[#This Row],[75-80 jahre Männlich]]</x:f>
      </x:c>
      <x:c r="BA52" t="n">
        <x:f>Tabelle2[[#This Row],[80-85 Jahre Weiblich]]+Tabelle2[[#This Row],[80-85 jahre Männlich]]</x:f>
        <x:v>6917</x:v>
      </x:c>
      <x:c r="BB52" t="n">
        <x:f>Tabelle2[[#This Row],[85 und mehr Weiblich]]+Tabelle2[[#This Row],[85 und mehr]]</x:f>
        <x:v>9851</x:v>
      </x:c>
    </x:row>
    <x:row r="53">
      <x:c r="A53" s="1" t="s">
        <x:v>54</x:v>
      </x:c>
      <x:c r="B53" s="2" t="s">
        <x:v>92</x:v>
      </x:c>
      <x:c r="C53" s="3">
        <x:v>0</x:v>
      </x:c>
      <x:c r="D53" s="3">
        <x:v>2</x:v>
      </x:c>
      <x:c r="E53" s="3">
        <x:v>0</x:v>
      </x:c>
      <x:c r="F53" s="3">
        <x:v>0</x:v>
      </x:c>
      <x:c r="G53" s="3">
        <x:v>1</x:v>
      </x:c>
      <x:c r="H53" s="3">
        <x:v>2</x:v>
      </x:c>
      <x:c r="I53" s="3">
        <x:v>4</x:v>
      </x:c>
      <x:c r="J53" s="3">
        <x:v>8</x:v>
      </x:c>
      <x:c r="K53" s="3">
        <x:v>15</x:v>
      </x:c>
      <x:c r="L53" s="3">
        <x:v>21</x:v>
      </x:c>
      <x:c r="M53" s="3">
        <x:v>33</x:v>
      </x:c>
      <x:c r="N53" s="3">
        <x:v>28</x:v>
      </x:c>
      <x:c r="O53" s="3">
        <x:v>29</x:v>
      </x:c>
      <x:c r="P53" s="3">
        <x:v>16</x:v>
      </x:c>
      <x:c r="Q53" s="3">
        <x:v>43</x:v>
      </x:c>
      <x:c r="R53" s="3">
        <x:v>60</x:v>
      </x:c>
      <x:c r="S53" s="3">
        <x:v>98</x:v>
      </x:c>
      <x:c r="T53" s="3">
        <x:v>0</x:v>
      </x:c>
      <x:c r="U53" s="3">
        <x:v>0</x:v>
      </x:c>
      <x:c r="V53" s="3">
        <x:v>0</x:v>
      </x:c>
      <x:c r="W53" s="3">
        <x:v>0</x:v>
      </x:c>
      <x:c r="X53" s="3">
        <x:v>3</x:v>
      </x:c>
      <x:c r="Y53" s="3">
        <x:v>0</x:v>
      </x:c>
      <x:c r="Z53" s="3">
        <x:v>3</x:v>
      </x:c>
      <x:c r="AA53" s="3">
        <x:v>1</x:v>
      </x:c>
      <x:c r="AB53" s="3">
        <x:v>4</x:v>
      </x:c>
      <x:c r="AC53" s="3">
        <x:v>13</x:v>
      </x:c>
      <x:c r="AD53" s="3">
        <x:v>22</x:v>
      </x:c>
      <x:c r="AE53" s="3">
        <x:v>24</x:v>
      </x:c>
      <x:c r="AF53" s="3">
        <x:v>34</x:v>
      </x:c>
      <x:c r="AG53" s="3">
        <x:v>48</x:v>
      </x:c>
      <x:c r="AH53" s="3">
        <x:v>42</x:v>
      </x:c>
      <x:c r="AJ53" s="3">
        <x:v>128</x:v>
      </x:c>
      <x:c r="AK53" s="3">
        <x:v>281</x:v>
      </x:c>
      <x:c r="AL53" t="n">
        <x:f>Tabelle2[[#This Row],[1 jahre Weiblich]]+Tabelle2[[#This Row],[unter 1 Jahr Männlich]]</x:f>
        <x:v>0</x:v>
      </x:c>
      <x:c r="AM53" t="n">
        <x:f>Tabelle2[[#This Row],[1-15 Jahre Weiblich]]+Tabelle2[[#This Row],[1-15 jahre Mänlich]]</x:f>
        <x:v>2</x:v>
      </x:c>
      <x:c r="AN53" t="n">
        <x:f>Tabelle2[[#This Row],[15-20 Jahre Weiblich]]+Tabelle2[[#This Row],[15-20 jahre Männlich]]</x:f>
        <x:v>0</x:v>
      </x:c>
      <x:c r="AO53" t="n">
        <x:f>Tabelle2[[#This Row],[20-25 jahre weiblich]]+Tabelle2[[#This Row],[20-25 jahre Männlich]]</x:f>
        <x:v>3</x:v>
      </x:c>
      <x:c r="AP53" t="n">
        <x:f>Tabelle2[[#This Row],[25-30 Jahre Weiblich]]+Tabelle2[[#This Row],[25-30 jahre Männlich]]</x:f>
        <x:v>1</x:v>
      </x:c>
      <x:c r="AQ53" t="n">
        <x:f>Tabelle2[[#This Row],[30-35 Jahre Weiblich]]+Tabelle2[[#This Row],[30-35 jahre Männlich]]</x:f>
        <x:v>5</x:v>
      </x:c>
      <x:c r="AR53" t="n">
        <x:f>Tabelle2[[#This Row],[35-40 Jahre Weiblich]]+Tabelle2[[#This Row],[35-40 jahre  Männlich]]</x:f>
        <x:v>5</x:v>
      </x:c>
      <x:c r="AS53" t="n">
        <x:f>Tabelle2[[#This Row],[40-45 Jahre Weiblich]]+Tabelle2[[#This Row],[40-45 jahre Männlich]]</x:f>
        <x:v>12</x:v>
      </x:c>
      <x:c r="AT53" t="n">
        <x:f>Tabelle2[[#This Row],[45-50 Jahre Weiblich]]+Tabelle2[[#This Row],[45-50 jahre Männlich]]</x:f>
        <x:v>28</x:v>
      </x:c>
      <x:c r="AU53" t="n">
        <x:f>Tabelle2[[#This Row],[50-55 Jahre Weiblich]]+Tabelle2[[#This Row],[50-55 jahre Männlich]]</x:f>
        <x:v>43</x:v>
      </x:c>
      <x:c r="AV53" t="n">
        <x:f>Tabelle2[[#This Row],[55-60 Jahre Weiblich]]+Tabelle2[[#This Row],[55-60 jahre Männlich]]</x:f>
        <x:v>57</x:v>
      </x:c>
      <x:c r="AW53" t="n">
        <x:f>Tabelle2[[#This Row],[60-65 Jahre Weiblich]]+Tabelle2[[#This Row],[60-65 jahre Männlich]]</x:f>
        <x:v>62</x:v>
      </x:c>
      <x:c r="AX53" t="n">
        <x:f>Tabelle2[[#This Row],[65-70 Jahre Weiblich]]+Tabelle2[[#This Row],[65-70 Jahre  Männlich]]</x:f>
        <x:v>77</x:v>
      </x:c>
      <x:c r="AY53" t="n">
        <x:f>Tabelle2[[#This Row],[70-75Jahre Weiblich]]+Tabelle2[[#This Row],[70-75 jahre Männlch]]</x:f>
        <x:v>58</x:v>
      </x:c>
      <x:c r="AZ53" t="e">
        <x:f>Tabelle2[[#This Row],[75-80 Jahre Weiblich]]+Tabelle2[[#This Row],[75-80 jahre Männlich]]</x:f>
      </x:c>
      <x:c r="BA53" t="n">
        <x:f>Tabelle2[[#This Row],[80-85 Jahre Weiblich]]+Tabelle2[[#This Row],[80-85 jahre Männlich]]</x:f>
        <x:v>188</x:v>
      </x:c>
      <x:c r="BB53" t="n">
        <x:f>Tabelle2[[#This Row],[85 und mehr Weiblich]]+Tabelle2[[#This Row],[85 und mehr]]</x:f>
        <x:v>379</x:v>
      </x:c>
    </x:row>
    <x:row r="54">
      <x:c r="A54" s="1" t="s">
        <x:v>54</x:v>
      </x:c>
      <x:c r="B54" s="2" t="str">
        <x:v>Verdauungssystem</x:v>
      </x:c>
      <x:c r="C54" s="3">
        <x:v>8</x:v>
      </x:c>
      <x:c r="D54" s="3">
        <x:v>6</x:v>
      </x:c>
      <x:c r="E54" s="3">
        <x:v>6</x:v>
      </x:c>
      <x:c r="F54" s="3">
        <x:v>12</x:v>
      </x:c>
      <x:c r="G54" s="3">
        <x:v>30</x:v>
      </x:c>
      <x:c r="H54" s="3">
        <x:v>71</x:v>
      </x:c>
      <x:c r="I54" s="3">
        <x:v>196</x:v>
      </x:c>
      <x:c r="J54" s="3">
        <x:v>338</x:v>
      </x:c>
      <x:c r="K54" s="3">
        <x:v>690</x:v>
      </x:c>
      <x:c r="L54" s="3">
        <x:v>1357</x:v>
      </x:c>
      <x:c r="M54" s="3">
        <x:v>2041</x:v>
      </x:c>
      <x:c r="N54" s="3">
        <x:v>2453</x:v>
      </x:c>
      <x:c r="O54" s="3">
        <x:v>2552</x:v>
      </x:c>
      <x:c r="P54" s="3">
        <x:v>2145</x:v>
      </x:c>
      <x:c r="Q54" s="3">
        <x:v>3114</x:v>
      </x:c>
      <x:c r="R54" s="3">
        <x:v>3139</x:v>
      </x:c>
      <x:c r="S54" s="3">
        <x:v>3746</x:v>
      </x:c>
      <x:c r="T54" s="3">
        <x:v>0</x:v>
      </x:c>
      <x:c r="U54" s="3">
        <x:v>5</x:v>
      </x:c>
      <x:c r="V54" s="3">
        <x:v>8</x:v>
      </x:c>
      <x:c r="W54" s="3">
        <x:v>3</x:v>
      </x:c>
      <x:c r="X54" s="3">
        <x:v>6</x:v>
      </x:c>
      <x:c r="Y54" s="3">
        <x:v>25</x:v>
      </x:c>
      <x:c r="Z54" s="3">
        <x:v>38</x:v>
      </x:c>
      <x:c r="AA54" s="3">
        <x:v>78</x:v>
      </x:c>
      <x:c r="AB54" s="3">
        <x:v>123</x:v>
      </x:c>
      <x:c r="AC54" s="3">
        <x:v>304</x:v>
      </x:c>
      <x:c r="AD54" s="3">
        <x:v>581</x:v>
      </x:c>
      <x:c r="AE54" s="3">
        <x:v>907</x:v>
      </x:c>
      <x:c r="AF54" s="3">
        <x:v>1084</x:v>
      </x:c>
      <x:c r="AG54" s="3">
        <x:v>1301</x:v>
      </x:c>
      <x:c r="AH54" s="3">
        <x:v>1400</x:v>
      </x:c>
      <x:c r="AJ54" s="3">
        <x:v>3331</x:v>
      </x:c>
      <x:c r="AK54" s="3">
        <x:v>7575</x:v>
      </x:c>
      <x:c r="AL54" t="n">
        <x:f>Tabelle2[[#This Row],[1 jahre Weiblich]]+Tabelle2[[#This Row],[unter 1 Jahr Männlich]]</x:f>
        <x:v>13</x:v>
      </x:c>
      <x:c r="AM54" t="n">
        <x:f>Tabelle2[[#This Row],[1-15 Jahre Weiblich]]+Tabelle2[[#This Row],[1-15 jahre Mänlich]]</x:f>
        <x:v>14</x:v>
      </x:c>
      <x:c r="AN54" t="n">
        <x:f>Tabelle2[[#This Row],[15-20 Jahre Weiblich]]+Tabelle2[[#This Row],[15-20 jahre Männlich]]</x:f>
        <x:v>9</x:v>
      </x:c>
      <x:c r="AO54" t="n">
        <x:f>Tabelle2[[#This Row],[20-25 jahre weiblich]]+Tabelle2[[#This Row],[20-25 jahre Männlich]]</x:f>
        <x:v>18</x:v>
      </x:c>
      <x:c r="AP54" t="n">
        <x:f>Tabelle2[[#This Row],[25-30 Jahre Weiblich]]+Tabelle2[[#This Row],[25-30 jahre Männlich]]</x:f>
        <x:v>55</x:v>
      </x:c>
      <x:c r="AQ54" t="n">
        <x:f>Tabelle2[[#This Row],[30-35 Jahre Weiblich]]+Tabelle2[[#This Row],[30-35 jahre Männlich]]</x:f>
        <x:v>109</x:v>
      </x:c>
      <x:c r="AR54" t="n">
        <x:f>Tabelle2[[#This Row],[35-40 Jahre Weiblich]]+Tabelle2[[#This Row],[35-40 jahre  Männlich]]</x:f>
        <x:v>274</x:v>
      </x:c>
      <x:c r="AS54" t="n">
        <x:f>Tabelle2[[#This Row],[40-45 Jahre Weiblich]]+Tabelle2[[#This Row],[40-45 jahre Männlich]]</x:f>
        <x:v>461</x:v>
      </x:c>
      <x:c r="AT54" t="n">
        <x:f>Tabelle2[[#This Row],[45-50 Jahre Weiblich]]+Tabelle2[[#This Row],[45-50 jahre Männlich]]</x:f>
        <x:v>994</x:v>
      </x:c>
      <x:c r="AU54" t="n">
        <x:f>Tabelle2[[#This Row],[50-55 Jahre Weiblich]]+Tabelle2[[#This Row],[50-55 jahre Männlich]]</x:f>
        <x:v>1938</x:v>
      </x:c>
      <x:c r="AV54" t="n">
        <x:f>Tabelle2[[#This Row],[55-60 Jahre Weiblich]]+Tabelle2[[#This Row],[55-60 jahre Männlich]]</x:f>
        <x:v>2948</x:v>
      </x:c>
      <x:c r="AW54" t="n">
        <x:f>Tabelle2[[#This Row],[60-65 Jahre Weiblich]]+Tabelle2[[#This Row],[60-65 jahre Männlich]]</x:f>
        <x:v>3537</x:v>
      </x:c>
      <x:c r="AX54" t="n">
        <x:f>Tabelle2[[#This Row],[65-70 Jahre Weiblich]]+Tabelle2[[#This Row],[65-70 Jahre  Männlich]]</x:f>
        <x:v>3853</x:v>
      </x:c>
      <x:c r="AY54" t="n">
        <x:f>Tabelle2[[#This Row],[70-75Jahre Weiblich]]+Tabelle2[[#This Row],[70-75 jahre Männlch]]</x:f>
        <x:v>3545</x:v>
      </x:c>
      <x:c r="AZ54" t="e">
        <x:f>Tabelle2[[#This Row],[75-80 Jahre Weiblich]]+Tabelle2[[#This Row],[75-80 jahre Männlich]]</x:f>
      </x:c>
      <x:c r="BA54" t="n">
        <x:f>Tabelle2[[#This Row],[80-85 Jahre Weiblich]]+Tabelle2[[#This Row],[80-85 jahre Männlich]]</x:f>
        <x:v>6470</x:v>
      </x:c>
      <x:c r="BB54" t="n">
        <x:f>Tabelle2[[#This Row],[85 und mehr Weiblich]]+Tabelle2[[#This Row],[85 und mehr]]</x:f>
        <x:v>11321</x:v>
      </x:c>
    </x:row>
    <x:row r="55">
      <x:c r="A55" s="1" t="s">
        <x:v>54</x:v>
      </x:c>
      <x:c r="B55" s="2" t="s">
        <x:v>93</x:v>
      </x:c>
      <x:c r="C55" s="3">
        <x:v>0</x:v>
      </x:c>
      <x:c r="D55" s="3">
        <x:v>0</x:v>
      </x:c>
      <x:c r="E55" s="3">
        <x:v>0</x:v>
      </x:c>
      <x:c r="F55" s="3">
        <x:v>0</x:v>
      </x:c>
      <x:c r="G55" s="3">
        <x:v>2</x:v>
      </x:c>
      <x:c r="H55" s="3">
        <x:v>1</x:v>
      </x:c>
      <x:c r="I55" s="3">
        <x:v>4</x:v>
      </x:c>
      <x:c r="J55" s="3">
        <x:v>9</x:v>
      </x:c>
      <x:c r="K55" s="3">
        <x:v>20</x:v>
      </x:c>
      <x:c r="L55" s="3">
        <x:v>46</x:v>
      </x:c>
      <x:c r="M55" s="3">
        <x:v>68</x:v>
      </x:c>
      <x:c r="N55" s="3">
        <x:v>73</x:v>
      </x:c>
      <x:c r="O55" s="3">
        <x:v>100</x:v>
      </x:c>
      <x:c r="P55" s="3">
        <x:v>105</x:v>
      </x:c>
      <x:c r="Q55" s="3">
        <x:v>181</x:v>
      </x:c>
      <x:c r="R55" s="3">
        <x:v>240</x:v>
      </x:c>
      <x:c r="S55" s="3">
        <x:v>343</x:v>
      </x:c>
      <x:c r="T55" s="3">
        <x:v>0</x:v>
      </x:c>
      <x:c r="U55" s="3">
        <x:v>0</x:v>
      </x:c>
      <x:c r="V55" s="3">
        <x:v>0</x:v>
      </x:c>
      <x:c r="W55" s="3">
        <x:v>0</x:v>
      </x:c>
      <x:c r="X55" s="3">
        <x:v>0</x:v>
      </x:c>
      <x:c r="Y55" s="3">
        <x:v>0</x:v>
      </x:c>
      <x:c r="Z55" s="3">
        <x:v>1</x:v>
      </x:c>
      <x:c r="AA55" s="3">
        <x:v>1</x:v>
      </x:c>
      <x:c r="AB55" s="3">
        <x:v>3</x:v>
      </x:c>
      <x:c r="AC55" s="3">
        <x:v>8</x:v>
      </x:c>
      <x:c r="AD55" s="3">
        <x:v>18</x:v>
      </x:c>
      <x:c r="AE55" s="3">
        <x:v>24</x:v>
      </x:c>
      <x:c r="AF55" s="3">
        <x:v>26</x:v>
      </x:c>
      <x:c r="AG55" s="3">
        <x:v>58</x:v>
      </x:c>
      <x:c r="AH55" s="3">
        <x:v>74</x:v>
      </x:c>
      <x:c r="AJ55" s="3">
        <x:v>241</x:v>
      </x:c>
      <x:c r="AK55" s="3">
        <x:v>648</x:v>
      </x:c>
      <x:c r="AL55" t="n">
        <x:f>Tabelle2[[#This Row],[1 jahre Weiblich]]+Tabelle2[[#This Row],[unter 1 Jahr Männlich]]</x:f>
        <x:v>0</x:v>
      </x:c>
      <x:c r="AM55" t="n">
        <x:f>Tabelle2[[#This Row],[1-15 Jahre Weiblich]]+Tabelle2[[#This Row],[1-15 jahre Mänlich]]</x:f>
        <x:v>0</x:v>
      </x:c>
      <x:c r="AN55" t="n">
        <x:f>Tabelle2[[#This Row],[15-20 Jahre Weiblich]]+Tabelle2[[#This Row],[15-20 jahre Männlich]]</x:f>
        <x:v>0</x:v>
      </x:c>
      <x:c r="AO55" t="n">
        <x:f>Tabelle2[[#This Row],[20-25 jahre weiblich]]+Tabelle2[[#This Row],[20-25 jahre Männlich]]</x:f>
        <x:v>0</x:v>
      </x:c>
      <x:c r="AP55" t="n">
        <x:f>Tabelle2[[#This Row],[25-30 Jahre Weiblich]]+Tabelle2[[#This Row],[25-30 jahre Männlich]]</x:f>
        <x:v>2</x:v>
      </x:c>
      <x:c r="AQ55" t="n">
        <x:f>Tabelle2[[#This Row],[30-35 Jahre Weiblich]]+Tabelle2[[#This Row],[30-35 jahre Männlich]]</x:f>
        <x:v>2</x:v>
      </x:c>
      <x:c r="AR55" t="n">
        <x:f>Tabelle2[[#This Row],[35-40 Jahre Weiblich]]+Tabelle2[[#This Row],[35-40 jahre  Männlich]]</x:f>
        <x:v>5</x:v>
      </x:c>
      <x:c r="AS55" t="n">
        <x:f>Tabelle2[[#This Row],[40-45 Jahre Weiblich]]+Tabelle2[[#This Row],[40-45 jahre Männlich]]</x:f>
        <x:v>12</x:v>
      </x:c>
      <x:c r="AT55" t="n">
        <x:f>Tabelle2[[#This Row],[45-50 Jahre Weiblich]]+Tabelle2[[#This Row],[45-50 jahre Männlich]]</x:f>
        <x:v>28</x:v>
      </x:c>
      <x:c r="AU55" t="n">
        <x:f>Tabelle2[[#This Row],[50-55 Jahre Weiblich]]+Tabelle2[[#This Row],[50-55 jahre Männlich]]</x:f>
        <x:v>64</x:v>
      </x:c>
      <x:c r="AV55" t="n">
        <x:f>Tabelle2[[#This Row],[55-60 Jahre Weiblich]]+Tabelle2[[#This Row],[55-60 jahre Männlich]]</x:f>
        <x:v>92</x:v>
      </x:c>
      <x:c r="AW55" t="n">
        <x:f>Tabelle2[[#This Row],[60-65 Jahre Weiblich]]+Tabelle2[[#This Row],[60-65 jahre Männlich]]</x:f>
        <x:v>99</x:v>
      </x:c>
      <x:c r="AX55" t="n">
        <x:f>Tabelle2[[#This Row],[65-70 Jahre Weiblich]]+Tabelle2[[#This Row],[65-70 Jahre  Männlich]]</x:f>
        <x:v>158</x:v>
      </x:c>
      <x:c r="AY55" t="n">
        <x:f>Tabelle2[[#This Row],[70-75Jahre Weiblich]]+Tabelle2[[#This Row],[70-75 jahre Männlch]]</x:f>
        <x:v>179</x:v>
      </x:c>
      <x:c r="AZ55" t="e">
        <x:f>Tabelle2[[#This Row],[75-80 Jahre Weiblich]]+Tabelle2[[#This Row],[75-80 jahre Männlich]]</x:f>
      </x:c>
      <x:c r="BA55" t="n">
        <x:f>Tabelle2[[#This Row],[80-85 Jahre Weiblich]]+Tabelle2[[#This Row],[80-85 jahre Männlich]]</x:f>
        <x:v>481</x:v>
      </x:c>
      <x:c r="BB55" t="n">
        <x:f>Tabelle2[[#This Row],[85 und mehr Weiblich]]+Tabelle2[[#This Row],[85 und mehr]]</x:f>
        <x:v>991</x:v>
      </x:c>
    </x:row>
    <x:row r="56">
      <x:c r="A56" s="1" t="s">
        <x:v>54</x:v>
      </x:c>
      <x:c r="B56" s="2" t="s">
        <x:v>94</x:v>
      </x:c>
      <x:c r="C56" s="3">
        <x:v>1</x:v>
      </x:c>
      <x:c r="D56" s="3">
        <x:v>1</x:v>
      </x:c>
      <x:c r="E56" s="3">
        <x:v>1</x:v>
      </x:c>
      <x:c r="F56" s="3">
        <x:v>3</x:v>
      </x:c>
      <x:c r="G56" s="3">
        <x:v>15</x:v>
      </x:c>
      <x:c r="H56" s="3">
        <x:v>50</x:v>
      </x:c>
      <x:c r="I56" s="3">
        <x:v>142</x:v>
      </x:c>
      <x:c r="J56" s="3">
        <x:v>258</x:v>
      </x:c>
      <x:c r="K56" s="3">
        <x:v>502</x:v>
      </x:c>
      <x:c r="L56" s="3">
        <x:v>979</x:v>
      </x:c>
      <x:c r="M56" s="3">
        <x:v>1472</x:v>
      </x:c>
      <x:c r="N56" s="3">
        <x:v>1622</x:v>
      </x:c>
      <x:c r="O56" s="3">
        <x:v>1604</x:v>
      </x:c>
      <x:c r="P56" s="3">
        <x:v>1068</x:v>
      </x:c>
      <x:c r="Q56" s="3">
        <x:v>1189</x:v>
      </x:c>
      <x:c r="R56" s="3">
        <x:v>867</x:v>
      </x:c>
      <x:c r="S56" s="3">
        <x:v>528</x:v>
      </x:c>
      <x:c r="T56" s="3">
        <x:v>0</x:v>
      </x:c>
      <x:c r="U56" s="3">
        <x:v>2</x:v>
      </x:c>
      <x:c r="V56" s="3">
        <x:v>6</x:v>
      </x:c>
      <x:c r="W56" s="3">
        <x:v>0</x:v>
      </x:c>
      <x:c r="X56" s="3">
        <x:v>3</x:v>
      </x:c>
      <x:c r="Y56" s="3">
        <x:v>15</x:v>
      </x:c>
      <x:c r="Z56" s="3">
        <x:v>24</x:v>
      </x:c>
      <x:c r="AA56" s="3">
        <x:v>60</x:v>
      </x:c>
      <x:c r="AB56" s="3">
        <x:v>93</x:v>
      </x:c>
      <x:c r="AC56" s="3">
        <x:v>219</x:v>
      </x:c>
      <x:c r="AD56" s="3">
        <x:v>418</x:v>
      </x:c>
      <x:c r="AE56" s="3">
        <x:v>635</x:v>
      </x:c>
      <x:c r="AF56" s="3">
        <x:v>662</x:v>
      </x:c>
      <x:c r="AG56" s="3">
        <x:v>696</x:v>
      </x:c>
      <x:c r="AH56" s="3">
        <x:v>598</x:v>
      </x:c>
      <x:c r="AJ56" s="3">
        <x:v>677</x:v>
      </x:c>
      <x:c r="AK56" s="3">
        <x:v>630</x:v>
      </x:c>
      <x:c r="AL56" t="n">
        <x:f>Tabelle2[[#This Row],[1 jahre Weiblich]]+Tabelle2[[#This Row],[unter 1 Jahr Männlich]]</x:f>
        <x:v>3</x:v>
      </x:c>
      <x:c r="AM56" t="n">
        <x:f>Tabelle2[[#This Row],[1-15 Jahre Weiblich]]+Tabelle2[[#This Row],[1-15 jahre Mänlich]]</x:f>
        <x:v>7</x:v>
      </x:c>
      <x:c r="AN56" t="n">
        <x:f>Tabelle2[[#This Row],[15-20 Jahre Weiblich]]+Tabelle2[[#This Row],[15-20 jahre Männlich]]</x:f>
        <x:v>1</x:v>
      </x:c>
      <x:c r="AO56" t="n">
        <x:f>Tabelle2[[#This Row],[20-25 jahre weiblich]]+Tabelle2[[#This Row],[20-25 jahre Männlich]]</x:f>
        <x:v>6</x:v>
      </x:c>
      <x:c r="AP56" t="n">
        <x:f>Tabelle2[[#This Row],[25-30 Jahre Weiblich]]+Tabelle2[[#This Row],[25-30 jahre Männlich]]</x:f>
        <x:v>30</x:v>
      </x:c>
      <x:c r="AQ56" t="n">
        <x:f>Tabelle2[[#This Row],[30-35 Jahre Weiblich]]+Tabelle2[[#This Row],[30-35 jahre Männlich]]</x:f>
        <x:v>74</x:v>
      </x:c>
      <x:c r="AR56" t="n">
        <x:f>Tabelle2[[#This Row],[35-40 Jahre Weiblich]]+Tabelle2[[#This Row],[35-40 jahre  Männlich]]</x:f>
        <x:v>202</x:v>
      </x:c>
      <x:c r="AS56" t="n">
        <x:f>Tabelle2[[#This Row],[40-45 Jahre Weiblich]]+Tabelle2[[#This Row],[40-45 jahre Männlich]]</x:f>
        <x:v>351</x:v>
      </x:c>
      <x:c r="AT56" t="n">
        <x:f>Tabelle2[[#This Row],[45-50 Jahre Weiblich]]+Tabelle2[[#This Row],[45-50 jahre Männlich]]</x:f>
        <x:v>721</x:v>
      </x:c>
      <x:c r="AU56" t="n">
        <x:f>Tabelle2[[#This Row],[50-55 Jahre Weiblich]]+Tabelle2[[#This Row],[50-55 jahre Männlich]]</x:f>
        <x:v>1397</x:v>
      </x:c>
      <x:c r="AV56" t="n">
        <x:f>Tabelle2[[#This Row],[55-60 Jahre Weiblich]]+Tabelle2[[#This Row],[55-60 jahre Männlich]]</x:f>
        <x:v>2107</x:v>
      </x:c>
      <x:c r="AW56" t="n">
        <x:f>Tabelle2[[#This Row],[60-65 Jahre Weiblich]]+Tabelle2[[#This Row],[60-65 jahre Männlich]]</x:f>
        <x:v>2284</x:v>
      </x:c>
      <x:c r="AX56" t="n">
        <x:f>Tabelle2[[#This Row],[65-70 Jahre Weiblich]]+Tabelle2[[#This Row],[65-70 Jahre  Männlich]]</x:f>
        <x:v>2300</x:v>
      </x:c>
      <x:c r="AY56" t="n">
        <x:f>Tabelle2[[#This Row],[70-75Jahre Weiblich]]+Tabelle2[[#This Row],[70-75 jahre Männlch]]</x:f>
        <x:v>1666</x:v>
      </x:c>
      <x:c r="AZ56" t="e">
        <x:f>Tabelle2[[#This Row],[75-80 Jahre Weiblich]]+Tabelle2[[#This Row],[75-80 jahre Männlich]]</x:f>
      </x:c>
      <x:c r="BA56" t="n">
        <x:f>Tabelle2[[#This Row],[80-85 Jahre Weiblich]]+Tabelle2[[#This Row],[80-85 jahre Männlich]]</x:f>
        <x:v>1544</x:v>
      </x:c>
      <x:c r="BB56" t="n">
        <x:f>Tabelle2[[#This Row],[85 und mehr Weiblich]]+Tabelle2[[#This Row],[85 und mehr]]</x:f>
        <x:v>1158</x:v>
      </x:c>
    </x:row>
    <x:row r="57">
      <x:c r="A57" s="1" t="s">
        <x:v>54</x:v>
      </x:c>
      <x:c r="B57" s="2" t="s">
        <x:v>95</x:v>
      </x:c>
      <x:c r="C57" s="3">
        <x:v>0</x:v>
      </x:c>
      <x:c r="D57" s="3">
        <x:v>1</x:v>
      </x:c>
      <x:c r="E57" s="3">
        <x:v>0</x:v>
      </x:c>
      <x:c r="F57" s="3">
        <x:v>1</x:v>
      </x:c>
      <x:c r="G57" s="3">
        <x:v>13</x:v>
      </x:c>
      <x:c r="H57" s="3">
        <x:v>44</x:v>
      </x:c>
      <x:c r="I57" s="3">
        <x:v>135</x:v>
      </x:c>
      <x:c r="J57" s="3">
        <x:v>245</x:v>
      </x:c>
      <x:c r="K57" s="3">
        <x:v>483</x:v>
      </x:c>
      <x:c r="L57" s="3">
        <x:v>940</x:v>
      </x:c>
      <x:c r="M57" s="3">
        <x:v>1400</x:v>
      </x:c>
      <x:c r="N57" s="3">
        <x:v>1565</x:v>
      </x:c>
      <x:c r="O57" s="3">
        <x:v>1497</x:v>
      </x:c>
      <x:c r="P57" s="3">
        <x:v>965</x:v>
      </x:c>
      <x:c r="Q57" s="3">
        <x:v>1067</x:v>
      </x:c>
      <x:c r="R57" s="3">
        <x:v>741</x:v>
      </x:c>
      <x:c r="S57" s="3">
        <x:v>403</x:v>
      </x:c>
      <x:c r="T57" s="3">
        <x:v>0</x:v>
      </x:c>
      <x:c r="U57" s="3">
        <x:v>1</x:v>
      </x:c>
      <x:c r="V57" s="3">
        <x:v>2</x:v>
      </x:c>
      <x:c r="W57" s="3">
        <x:v>0</x:v>
      </x:c>
      <x:c r="X57" s="3">
        <x:v>1</x:v>
      </x:c>
      <x:c r="Y57" s="3">
        <x:v>9</x:v>
      </x:c>
      <x:c r="Z57" s="3">
        <x:v>17</x:v>
      </x:c>
      <x:c r="AA57" s="3">
        <x:v>57</x:v>
      </x:c>
      <x:c r="AB57" s="3">
        <x:v>85</x:v>
      </x:c>
      <x:c r="AC57" s="3">
        <x:v>199</x:v>
      </x:c>
      <x:c r="AD57" s="3">
        <x:v>390</x:v>
      </x:c>
      <x:c r="AE57" s="3">
        <x:v>583</x:v>
      </x:c>
      <x:c r="AF57" s="3">
        <x:v>616</x:v>
      </x:c>
      <x:c r="AG57" s="3">
        <x:v>633</x:v>
      </x:c>
      <x:c r="AH57" s="3">
        <x:v>528</x:v>
      </x:c>
      <x:c r="AJ57" s="3">
        <x:v>531</x:v>
      </x:c>
      <x:c r="AK57" s="3">
        <x:v>399</x:v>
      </x:c>
      <x:c r="AL57" t="n">
        <x:f>Tabelle2[[#This Row],[1 jahre Weiblich]]+Tabelle2[[#This Row],[unter 1 Jahr Männlich]]</x:f>
        <x:v>1</x:v>
      </x:c>
      <x:c r="AM57" t="n">
        <x:f>Tabelle2[[#This Row],[1-15 Jahre Weiblich]]+Tabelle2[[#This Row],[1-15 jahre Mänlich]]</x:f>
        <x:v>3</x:v>
      </x:c>
      <x:c r="AN57" t="n">
        <x:f>Tabelle2[[#This Row],[15-20 Jahre Weiblich]]+Tabelle2[[#This Row],[15-20 jahre Männlich]]</x:f>
        <x:v>0</x:v>
      </x:c>
      <x:c r="AO57" t="n">
        <x:f>Tabelle2[[#This Row],[20-25 jahre weiblich]]+Tabelle2[[#This Row],[20-25 jahre Männlich]]</x:f>
        <x:v>2</x:v>
      </x:c>
      <x:c r="AP57" t="n">
        <x:f>Tabelle2[[#This Row],[25-30 Jahre Weiblich]]+Tabelle2[[#This Row],[25-30 jahre Männlich]]</x:f>
        <x:v>22</x:v>
      </x:c>
      <x:c r="AQ57" t="n">
        <x:f>Tabelle2[[#This Row],[30-35 Jahre Weiblich]]+Tabelle2[[#This Row],[30-35 jahre Männlich]]</x:f>
        <x:v>61</x:v>
      </x:c>
      <x:c r="AR57" t="n">
        <x:f>Tabelle2[[#This Row],[35-40 Jahre Weiblich]]+Tabelle2[[#This Row],[35-40 jahre  Männlich]]</x:f>
        <x:v>192</x:v>
      </x:c>
      <x:c r="AS57" t="n">
        <x:f>Tabelle2[[#This Row],[40-45 Jahre Weiblich]]+Tabelle2[[#This Row],[40-45 jahre Männlich]]</x:f>
        <x:v>330</x:v>
      </x:c>
      <x:c r="AT57" t="n">
        <x:f>Tabelle2[[#This Row],[45-50 Jahre Weiblich]]+Tabelle2[[#This Row],[45-50 jahre Männlich]]</x:f>
        <x:v>682</x:v>
      </x:c>
      <x:c r="AU57" t="n">
        <x:f>Tabelle2[[#This Row],[50-55 Jahre Weiblich]]+Tabelle2[[#This Row],[50-55 jahre Männlich]]</x:f>
        <x:v>1330</x:v>
      </x:c>
      <x:c r="AV57" t="n">
        <x:f>Tabelle2[[#This Row],[55-60 Jahre Weiblich]]+Tabelle2[[#This Row],[55-60 jahre Männlich]]</x:f>
        <x:v>1983</x:v>
      </x:c>
      <x:c r="AW57" t="n">
        <x:f>Tabelle2[[#This Row],[60-65 Jahre Weiblich]]+Tabelle2[[#This Row],[60-65 jahre Männlich]]</x:f>
        <x:v>2181</x:v>
      </x:c>
      <x:c r="AX57" t="n">
        <x:f>Tabelle2[[#This Row],[65-70 Jahre Weiblich]]+Tabelle2[[#This Row],[65-70 Jahre  Männlich]]</x:f>
        <x:v>2130</x:v>
      </x:c>
      <x:c r="AY57" t="n">
        <x:f>Tabelle2[[#This Row],[70-75Jahre Weiblich]]+Tabelle2[[#This Row],[70-75 jahre Männlch]]</x:f>
        <x:v>1493</x:v>
      </x:c>
      <x:c r="AZ57" t="e">
        <x:f>Tabelle2[[#This Row],[75-80 Jahre Weiblich]]+Tabelle2[[#This Row],[75-80 jahre Männlich]]</x:f>
      </x:c>
      <x:c r="BA57" t="n">
        <x:f>Tabelle2[[#This Row],[80-85 Jahre Weiblich]]+Tabelle2[[#This Row],[80-85 jahre Männlich]]</x:f>
        <x:v>1272</x:v>
      </x:c>
      <x:c r="BB57" t="n">
        <x:f>Tabelle2[[#This Row],[85 und mehr Weiblich]]+Tabelle2[[#This Row],[85 und mehr]]</x:f>
        <x:v>802</x:v>
      </x:c>
    </x:row>
    <x:row r="58">
      <x:c r="A58" s="1" t="s">
        <x:v>54</x:v>
      </x:c>
      <x:c r="B58" s="2" t="s">
        <x:v>96</x:v>
      </x:c>
      <x:c r="C58" s="3">
        <x:v>0</x:v>
      </x:c>
      <x:c r="D58" s="3">
        <x:v>0</x:v>
      </x:c>
      <x:c r="E58" s="3">
        <x:v>0</x:v>
      </x:c>
      <x:c r="F58" s="3">
        <x:v>1</x:v>
      </x:c>
      <x:c r="G58" s="3">
        <x:v>0</x:v>
      </x:c>
      <x:c r="H58" s="3">
        <x:v>2</x:v>
      </x:c>
      <x:c r="I58" s="3">
        <x:v>5</x:v>
      </x:c>
      <x:c r="J58" s="3">
        <x:v>1</x:v>
      </x:c>
      <x:c r="K58" s="3">
        <x:v>5</x:v>
      </x:c>
      <x:c r="L58" s="3">
        <x:v>13</x:v>
      </x:c>
      <x:c r="M58" s="3">
        <x:v>26</x:v>
      </x:c>
      <x:c r="N58" s="3">
        <x:v>34</x:v>
      </x:c>
      <x:c r="O58" s="3">
        <x:v>46</x:v>
      </x:c>
      <x:c r="P58" s="3">
        <x:v>58</x:v>
      </x:c>
      <x:c r="Q58" s="3">
        <x:v>113</x:v>
      </x:c>
      <x:c r="R58" s="3">
        <x:v>122</x:v>
      </x:c>
      <x:c r="S58" s="3">
        <x:v>173</x:v>
      </x:c>
      <x:c r="T58" s="3">
        <x:v>0</x:v>
      </x:c>
      <x:c r="U58" s="3">
        <x:v>0</x:v>
      </x:c>
      <x:c r="V58" s="3">
        <x:v>0</x:v>
      </x:c>
      <x:c r="W58" s="3">
        <x:v>0</x:v>
      </x:c>
      <x:c r="X58" s="3">
        <x:v>0</x:v>
      </x:c>
      <x:c r="Y58" s="3">
        <x:v>1</x:v>
      </x:c>
      <x:c r="Z58" s="3">
        <x:v>8</x:v>
      </x:c>
      <x:c r="AA58" s="3">
        <x:v>0</x:v>
      </x:c>
      <x:c r="AB58" s="3">
        <x:v>4</x:v>
      </x:c>
      <x:c r="AC58" s="3">
        <x:v>8</x:v>
      </x:c>
      <x:c r="AD58" s="3">
        <x:v>8</x:v>
      </x:c>
      <x:c r="AE58" s="3">
        <x:v>18</x:v>
      </x:c>
      <x:c r="AF58" s="3">
        <x:v>25</x:v>
      </x:c>
      <x:c r="AG58" s="3">
        <x:v>46</x:v>
      </x:c>
      <x:c r="AH58" s="3">
        <x:v>61</x:v>
      </x:c>
      <x:c r="AJ58" s="3">
        <x:v>187</x:v>
      </x:c>
      <x:c r="AK58" s="3">
        <x:v>513</x:v>
      </x:c>
      <x:c r="AL58" t="n">
        <x:f>Tabelle2[[#This Row],[1 jahre Weiblich]]+Tabelle2[[#This Row],[unter 1 Jahr Männlich]]</x:f>
        <x:v>0</x:v>
      </x:c>
      <x:c r="AM58" t="n">
        <x:f>Tabelle2[[#This Row],[1-15 Jahre Weiblich]]+Tabelle2[[#This Row],[1-15 jahre Mänlich]]</x:f>
        <x:v>0</x:v>
      </x:c>
      <x:c r="AN58" t="n">
        <x:f>Tabelle2[[#This Row],[15-20 Jahre Weiblich]]+Tabelle2[[#This Row],[15-20 jahre Männlich]]</x:f>
        <x:v>0</x:v>
      </x:c>
      <x:c r="AO58" t="n">
        <x:f>Tabelle2[[#This Row],[20-25 jahre weiblich]]+Tabelle2[[#This Row],[20-25 jahre Männlich]]</x:f>
        <x:v>1</x:v>
      </x:c>
      <x:c r="AP58" t="n">
        <x:f>Tabelle2[[#This Row],[25-30 Jahre Weiblich]]+Tabelle2[[#This Row],[25-30 jahre Männlich]]</x:f>
        <x:v>1</x:v>
      </x:c>
      <x:c r="AQ58" t="n">
        <x:f>Tabelle2[[#This Row],[30-35 Jahre Weiblich]]+Tabelle2[[#This Row],[30-35 jahre Männlich]]</x:f>
        <x:v>10</x:v>
      </x:c>
      <x:c r="AR58" t="n">
        <x:f>Tabelle2[[#This Row],[35-40 Jahre Weiblich]]+Tabelle2[[#This Row],[35-40 jahre  Männlich]]</x:f>
        <x:v>5</x:v>
      </x:c>
      <x:c r="AS58" t="n">
        <x:f>Tabelle2[[#This Row],[40-45 Jahre Weiblich]]+Tabelle2[[#This Row],[40-45 jahre Männlich]]</x:f>
        <x:v>5</x:v>
      </x:c>
      <x:c r="AT58" t="n">
        <x:f>Tabelle2[[#This Row],[45-50 Jahre Weiblich]]+Tabelle2[[#This Row],[45-50 jahre Männlich]]</x:f>
        <x:v>13</x:v>
      </x:c>
      <x:c r="AU58" t="n">
        <x:f>Tabelle2[[#This Row],[50-55 Jahre Weiblich]]+Tabelle2[[#This Row],[50-55 jahre Männlich]]</x:f>
        <x:v>21</x:v>
      </x:c>
      <x:c r="AV58" t="n">
        <x:f>Tabelle2[[#This Row],[55-60 Jahre Weiblich]]+Tabelle2[[#This Row],[55-60 jahre Männlich]]</x:f>
        <x:v>44</x:v>
      </x:c>
      <x:c r="AW58" t="n">
        <x:f>Tabelle2[[#This Row],[60-65 Jahre Weiblich]]+Tabelle2[[#This Row],[60-65 jahre Männlich]]</x:f>
        <x:v>59</x:v>
      </x:c>
      <x:c r="AX58" t="n">
        <x:f>Tabelle2[[#This Row],[65-70 Jahre Weiblich]]+Tabelle2[[#This Row],[65-70 Jahre  Männlich]]</x:f>
        <x:v>92</x:v>
      </x:c>
      <x:c r="AY58" t="n">
        <x:f>Tabelle2[[#This Row],[70-75Jahre Weiblich]]+Tabelle2[[#This Row],[70-75 jahre Männlch]]</x:f>
        <x:v>119</x:v>
      </x:c>
      <x:c r="AZ58" t="e">
        <x:f>Tabelle2[[#This Row],[75-80 Jahre Weiblich]]+Tabelle2[[#This Row],[75-80 jahre Männlich]]</x:f>
      </x:c>
      <x:c r="BA58" t="n">
        <x:f>Tabelle2[[#This Row],[80-85 Jahre Weiblich]]+Tabelle2[[#This Row],[80-85 jahre Männlich]]</x:f>
        <x:v>309</x:v>
      </x:c>
      <x:c r="BB58" t="n">
        <x:f>Tabelle2[[#This Row],[85 und mehr Weiblich]]+Tabelle2[[#This Row],[85 und mehr]]</x:f>
        <x:v>686</x:v>
      </x:c>
    </x:row>
    <x:row r="59">
      <x:c r="A59" s="1" t="s">
        <x:v>54</x:v>
      </x:c>
      <x:c r="B59" s="2" t="s">
        <x:v>97</x:v>
      </x:c>
      <x:c r="C59" s="3">
        <x:v>1</x:v>
      </x:c>
      <x:c r="D59" s="3">
        <x:v>6</x:v>
      </x:c>
      <x:c r="E59" s="3">
        <x:v>2</x:v>
      </x:c>
      <x:c r="F59" s="3">
        <x:v>0</x:v>
      </x:c>
      <x:c r="G59" s="3">
        <x:v>0</x:v>
      </x:c>
      <x:c r="H59" s="3">
        <x:v>5</x:v>
      </x:c>
      <x:c r="I59" s="3">
        <x:v>9</x:v>
      </x:c>
      <x:c r="J59" s="3">
        <x:v>8</x:v>
      </x:c>
      <x:c r="K59" s="3">
        <x:v>22</x:v>
      </x:c>
      <x:c r="L59" s="3">
        <x:v>53</x:v>
      </x:c>
      <x:c r="M59" s="3">
        <x:v>77</x:v>
      </x:c>
      <x:c r="N59" s="3">
        <x:v>107</x:v>
      </x:c>
      <x:c r="O59" s="3">
        <x:v>151</x:v>
      </x:c>
      <x:c r="P59" s="3">
        <x:v>195</x:v>
      </x:c>
      <x:c r="Q59" s="3">
        <x:v>383</x:v>
      </x:c>
      <x:c r="R59" s="3">
        <x:v>373</x:v>
      </x:c>
      <x:c r="S59" s="3">
        <x:v>519</x:v>
      </x:c>
      <x:c r="T59" s="3">
        <x:v>0</x:v>
      </x:c>
      <x:c r="U59" s="3">
        <x:v>0</x:v>
      </x:c>
      <x:c r="V59" s="3">
        <x:v>3</x:v>
      </x:c>
      <x:c r="W59" s="3">
        <x:v>5</x:v>
      </x:c>
      <x:c r="X59" s="3">
        <x:v>2</x:v>
      </x:c>
      <x:c r="Y59" s="3">
        <x:v>5</x:v>
      </x:c>
      <x:c r="Z59" s="3">
        <x:v>6</x:v>
      </x:c>
      <x:c r="AA59" s="3">
        <x:v>7</x:v>
      </x:c>
      <x:c r="AB59" s="3">
        <x:v>15</x:v>
      </x:c>
      <x:c r="AC59" s="3">
        <x:v>22</x:v>
      </x:c>
      <x:c r="AD59" s="3">
        <x:v>42</x:v>
      </x:c>
      <x:c r="AE59" s="3">
        <x:v>65</x:v>
      </x:c>
      <x:c r="AF59" s="3">
        <x:v>92</x:v>
      </x:c>
      <x:c r="AG59" s="3">
        <x:v>148</x:v>
      </x:c>
      <x:c r="AH59" s="3">
        <x:v>193</x:v>
      </x:c>
      <x:c r="AJ59" s="3">
        <x:v>619</x:v>
      </x:c>
      <x:c r="AK59" s="3">
        <x:v>1623</x:v>
      </x:c>
      <x:c r="AL59" t="n">
        <x:f>Tabelle2[[#This Row],[1 jahre Weiblich]]+Tabelle2[[#This Row],[unter 1 Jahr Männlich]]</x:f>
        <x:v>1</x:v>
      </x:c>
      <x:c r="AM59" t="n">
        <x:f>Tabelle2[[#This Row],[1-15 Jahre Weiblich]]+Tabelle2[[#This Row],[1-15 jahre Mänlich]]</x:f>
        <x:v>9</x:v>
      </x:c>
      <x:c r="AN59" t="n">
        <x:f>Tabelle2[[#This Row],[15-20 Jahre Weiblich]]+Tabelle2[[#This Row],[15-20 jahre Männlich]]</x:f>
        <x:v>7</x:v>
      </x:c>
      <x:c r="AO59" t="n">
        <x:f>Tabelle2[[#This Row],[20-25 jahre weiblich]]+Tabelle2[[#This Row],[20-25 jahre Männlich]]</x:f>
        <x:v>2</x:v>
      </x:c>
      <x:c r="AP59" t="n">
        <x:f>Tabelle2[[#This Row],[25-30 Jahre Weiblich]]+Tabelle2[[#This Row],[25-30 jahre Männlich]]</x:f>
        <x:v>5</x:v>
      </x:c>
      <x:c r="AQ59" t="n">
        <x:f>Tabelle2[[#This Row],[30-35 Jahre Weiblich]]+Tabelle2[[#This Row],[30-35 jahre Männlich]]</x:f>
        <x:v>11</x:v>
      </x:c>
      <x:c r="AR59" t="n">
        <x:f>Tabelle2[[#This Row],[35-40 Jahre Weiblich]]+Tabelle2[[#This Row],[35-40 jahre  Männlich]]</x:f>
        <x:v>16</x:v>
      </x:c>
      <x:c r="AS59" t="n">
        <x:f>Tabelle2[[#This Row],[40-45 Jahre Weiblich]]+Tabelle2[[#This Row],[40-45 jahre Männlich]]</x:f>
        <x:v>23</x:v>
      </x:c>
      <x:c r="AT59" t="n">
        <x:f>Tabelle2[[#This Row],[45-50 Jahre Weiblich]]+Tabelle2[[#This Row],[45-50 jahre Männlich]]</x:f>
        <x:v>44</x:v>
      </x:c>
      <x:c r="AU59" t="n">
        <x:f>Tabelle2[[#This Row],[50-55 Jahre Weiblich]]+Tabelle2[[#This Row],[50-55 jahre Männlich]]</x:f>
        <x:v>95</x:v>
      </x:c>
      <x:c r="AV59" t="n">
        <x:f>Tabelle2[[#This Row],[55-60 Jahre Weiblich]]+Tabelle2[[#This Row],[55-60 jahre Männlich]]</x:f>
        <x:v>142</x:v>
      </x:c>
      <x:c r="AW59" t="n">
        <x:f>Tabelle2[[#This Row],[60-65 Jahre Weiblich]]+Tabelle2[[#This Row],[60-65 jahre Männlich]]</x:f>
        <x:v>199</x:v>
      </x:c>
      <x:c r="AX59" t="n">
        <x:f>Tabelle2[[#This Row],[65-70 Jahre Weiblich]]+Tabelle2[[#This Row],[65-70 Jahre  Männlich]]</x:f>
        <x:v>299</x:v>
      </x:c>
      <x:c r="AY59" t="n">
        <x:f>Tabelle2[[#This Row],[70-75Jahre Weiblich]]+Tabelle2[[#This Row],[70-75 jahre Männlch]]</x:f>
        <x:v>388</x:v>
      </x:c>
      <x:c r="AZ59" t="e">
        <x:f>Tabelle2[[#This Row],[75-80 Jahre Weiblich]]+Tabelle2[[#This Row],[75-80 jahre Männlich]]</x:f>
      </x:c>
      <x:c r="BA59" t="n">
        <x:f>Tabelle2[[#This Row],[80-85 Jahre Weiblich]]+Tabelle2[[#This Row],[80-85 jahre Männlich]]</x:f>
        <x:v>992</x:v>
      </x:c>
      <x:c r="BB59" t="n">
        <x:f>Tabelle2[[#This Row],[85 und mehr Weiblich]]+Tabelle2[[#This Row],[85 und mehr]]</x:f>
        <x:v>2142</x:v>
      </x:c>
    </x:row>
    <x:row r="60">
      <x:c r="A60" s="1" t="s">
        <x:v>54</x:v>
      </x:c>
      <x:c r="B60" s="2" t="s">
        <x:v>98</x:v>
      </x:c>
      <x:c r="C60" s="3">
        <x:v>0</x:v>
      </x:c>
      <x:c r="D60" s="3">
        <x:v>0</x:v>
      </x:c>
      <x:c r="E60" s="3">
        <x:v>0</x:v>
      </x:c>
      <x:c r="F60" s="3">
        <x:v>0</x:v>
      </x:c>
      <x:c r="G60" s="3">
        <x:v>0</x:v>
      </x:c>
      <x:c r="H60" s="3">
        <x:v>1</x:v>
      </x:c>
      <x:c r="I60" s="3">
        <x:v>2</x:v>
      </x:c>
      <x:c r="J60" s="3">
        <x:v>0</x:v>
      </x:c>
      <x:c r="K60" s="3">
        <x:v>1</x:v>
      </x:c>
      <x:c r="L60" s="3">
        <x:v>6</x:v>
      </x:c>
      <x:c r="M60" s="3">
        <x:v>21</x:v>
      </x:c>
      <x:c r="N60" s="3">
        <x:v>27</x:v>
      </x:c>
      <x:c r="O60" s="3">
        <x:v>35</x:v>
      </x:c>
      <x:c r="P60" s="3">
        <x:v>46</x:v>
      </x:c>
      <x:c r="Q60" s="3">
        <x:v>82</x:v>
      </x:c>
      <x:c r="R60" s="3">
        <x:v>94</x:v>
      </x:c>
      <x:c r="S60" s="3">
        <x:v>117</x:v>
      </x:c>
      <x:c r="T60" s="3">
        <x:v>0</x:v>
      </x:c>
      <x:c r="U60" s="3">
        <x:v>0</x:v>
      </x:c>
      <x:c r="V60" s="3">
        <x:v>0</x:v>
      </x:c>
      <x:c r="W60" s="3">
        <x:v>0</x:v>
      </x:c>
      <x:c r="X60" s="3">
        <x:v>0</x:v>
      </x:c>
      <x:c r="Y60" s="3">
        <x:v>2</x:v>
      </x:c>
      <x:c r="Z60" s="3">
        <x:v>0</x:v>
      </x:c>
      <x:c r="AA60" s="3">
        <x:v>0</x:v>
      </x:c>
      <x:c r="AB60" s="3">
        <x:v>0</x:v>
      </x:c>
      <x:c r="AC60" s="3">
        <x:v>1</x:v>
      </x:c>
      <x:c r="AD60" s="3">
        <x:v>7</x:v>
      </x:c>
      <x:c r="AE60" s="3">
        <x:v>13</x:v>
      </x:c>
      <x:c r="AF60" s="3">
        <x:v>21</x:v>
      </x:c>
      <x:c r="AG60" s="3">
        <x:v>37</x:v>
      </x:c>
      <x:c r="AH60" s="3">
        <x:v>52</x:v>
      </x:c>
      <x:c r="AJ60" s="3">
        <x:v>193</x:v>
      </x:c>
      <x:c r="AK60" s="3">
        <x:v>468</x:v>
      </x:c>
      <x:c r="AL60" t="n">
        <x:f>Tabelle2[[#This Row],[1 jahre Weiblich]]+Tabelle2[[#This Row],[unter 1 Jahr Männlich]]</x:f>
        <x:v>0</x:v>
      </x:c>
      <x:c r="AM60" t="n">
        <x:f>Tabelle2[[#This Row],[1-15 Jahre Weiblich]]+Tabelle2[[#This Row],[1-15 jahre Mänlich]]</x:f>
        <x:v>0</x:v>
      </x:c>
      <x:c r="AN60" t="n">
        <x:f>Tabelle2[[#This Row],[15-20 Jahre Weiblich]]+Tabelle2[[#This Row],[15-20 jahre Männlich]]</x:f>
        <x:v>0</x:v>
      </x:c>
      <x:c r="AO60" t="n">
        <x:f>Tabelle2[[#This Row],[20-25 jahre weiblich]]+Tabelle2[[#This Row],[20-25 jahre Männlich]]</x:f>
        <x:v>0</x:v>
      </x:c>
      <x:c r="AP60" t="n">
        <x:f>Tabelle2[[#This Row],[25-30 Jahre Weiblich]]+Tabelle2[[#This Row],[25-30 jahre Männlich]]</x:f>
        <x:v>2</x:v>
      </x:c>
      <x:c r="AQ60" t="n">
        <x:f>Tabelle2[[#This Row],[30-35 Jahre Weiblich]]+Tabelle2[[#This Row],[30-35 jahre Männlich]]</x:f>
        <x:v>1</x:v>
      </x:c>
      <x:c r="AR60" t="n">
        <x:f>Tabelle2[[#This Row],[35-40 Jahre Weiblich]]+Tabelle2[[#This Row],[35-40 jahre  Männlich]]</x:f>
        <x:v>2</x:v>
      </x:c>
      <x:c r="AS60" t="n">
        <x:f>Tabelle2[[#This Row],[40-45 Jahre Weiblich]]+Tabelle2[[#This Row],[40-45 jahre Männlich]]</x:f>
        <x:v>0</x:v>
      </x:c>
      <x:c r="AT60" t="n">
        <x:f>Tabelle2[[#This Row],[45-50 Jahre Weiblich]]+Tabelle2[[#This Row],[45-50 jahre Männlich]]</x:f>
        <x:v>2</x:v>
      </x:c>
      <x:c r="AU60" t="n">
        <x:f>Tabelle2[[#This Row],[50-55 Jahre Weiblich]]+Tabelle2[[#This Row],[50-55 jahre Männlich]]</x:f>
        <x:v>13</x:v>
      </x:c>
      <x:c r="AV60" t="n">
        <x:f>Tabelle2[[#This Row],[55-60 Jahre Weiblich]]+Tabelle2[[#This Row],[55-60 jahre Männlich]]</x:f>
        <x:v>34</x:v>
      </x:c>
      <x:c r="AW60" t="n">
        <x:f>Tabelle2[[#This Row],[60-65 Jahre Weiblich]]+Tabelle2[[#This Row],[60-65 jahre Männlich]]</x:f>
        <x:v>48</x:v>
      </x:c>
      <x:c r="AX60" t="n">
        <x:f>Tabelle2[[#This Row],[65-70 Jahre Weiblich]]+Tabelle2[[#This Row],[65-70 Jahre  Männlich]]</x:f>
        <x:v>72</x:v>
      </x:c>
      <x:c r="AY60" t="n">
        <x:f>Tabelle2[[#This Row],[70-75Jahre Weiblich]]+Tabelle2[[#This Row],[70-75 jahre Männlch]]</x:f>
        <x:v>98</x:v>
      </x:c>
      <x:c r="AZ60" t="e">
        <x:f>Tabelle2[[#This Row],[75-80 Jahre Weiblich]]+Tabelle2[[#This Row],[75-80 jahre Männlich]]</x:f>
      </x:c>
      <x:c r="BA60" t="n">
        <x:f>Tabelle2[[#This Row],[80-85 Jahre Weiblich]]+Tabelle2[[#This Row],[80-85 jahre Männlich]]</x:f>
        <x:v>287</x:v>
      </x:c>
      <x:c r="BB60" t="n">
        <x:f>Tabelle2[[#This Row],[85 und mehr Weiblich]]+Tabelle2[[#This Row],[85 und mehr]]</x:f>
        <x:v>585</x:v>
      </x:c>
    </x:row>
    <x:row r="61">
      <x:c r="A61" s="1" t="s">
        <x:v>54</x:v>
      </x:c>
      <x:c r="B61" s="2" t="str">
        <x:v>Urogenitalsystem</x:v>
      </x:c>
      <x:c r="C61" s="3">
        <x:v>2</x:v>
      </x:c>
      <x:c r="D61" s="3">
        <x:v>2</x:v>
      </x:c>
      <x:c r="E61" s="3">
        <x:v>0</x:v>
      </x:c>
      <x:c r="F61" s="3">
        <x:v>0</x:v>
      </x:c>
      <x:c r="G61" s="3">
        <x:v>3</x:v>
      </x:c>
      <x:c r="H61" s="3">
        <x:v>10</x:v>
      </x:c>
      <x:c r="I61" s="3">
        <x:v>10</x:v>
      </x:c>
      <x:c r="J61" s="3">
        <x:v>14</x:v>
      </x:c>
      <x:c r="K61" s="3">
        <x:v>36</x:v>
      </x:c>
      <x:c r="L61" s="3">
        <x:v>119</x:v>
      </x:c>
      <x:c r="M61" s="3">
        <x:v>167</x:v>
      </x:c>
      <x:c r="N61" s="3">
        <x:v>279</x:v>
      </x:c>
      <x:c r="O61" s="3">
        <x:v>520</x:v>
      </x:c>
      <x:c r="P61" s="3">
        <x:v>805</x:v>
      </x:c>
      <x:c r="Q61" s="3">
        <x:v>1703</x:v>
      </x:c>
      <x:c r="R61" s="3">
        <x:v>2549</x:v>
      </x:c>
      <x:c r="S61" s="3">
        <x:v>4785</x:v>
      </x:c>
      <x:c r="T61" s="3">
        <x:v>0</x:v>
      </x:c>
      <x:c r="U61" s="3">
        <x:v>0</x:v>
      </x:c>
      <x:c r="V61" s="3">
        <x:v>0</x:v>
      </x:c>
      <x:c r="W61" s="3">
        <x:v>2</x:v>
      </x:c>
      <x:c r="X61" s="3">
        <x:v>1</x:v>
      </x:c>
      <x:c r="Y61" s="3">
        <x:v>3</x:v>
      </x:c>
      <x:c r="Z61" s="3">
        <x:v>6</x:v>
      </x:c>
      <x:c r="AA61" s="3">
        <x:v>8</x:v>
      </x:c>
      <x:c r="AB61" s="3">
        <x:v>19</x:v>
      </x:c>
      <x:c r="AC61" s="3">
        <x:v>26</x:v>
      </x:c>
      <x:c r="AD61" s="3">
        <x:v>69</x:v>
      </x:c>
      <x:c r="AE61" s="3">
        <x:v>112</x:v>
      </x:c>
      <x:c r="AF61" s="3">
        <x:v>176</x:v>
      </x:c>
      <x:c r="AG61" s="3">
        <x:v>326</x:v>
      </x:c>
      <x:c r="AH61" s="3">
        <x:v>504</x:v>
      </x:c>
      <x:c r="AJ61" s="3">
        <x:v>2701</x:v>
      </x:c>
      <x:c r="AK61" s="3">
        <x:v>8323</x:v>
      </x:c>
      <x:c r="AL61" t="n">
        <x:f>Tabelle2[[#This Row],[1 jahre Weiblich]]+Tabelle2[[#This Row],[unter 1 Jahr Männlich]]</x:f>
        <x:v>2</x:v>
      </x:c>
      <x:c r="AM61" t="n">
        <x:f>Tabelle2[[#This Row],[1-15 Jahre Weiblich]]+Tabelle2[[#This Row],[1-15 jahre Mänlich]]</x:f>
        <x:v>2</x:v>
      </x:c>
      <x:c r="AN61" t="n">
        <x:f>Tabelle2[[#This Row],[15-20 Jahre Weiblich]]+Tabelle2[[#This Row],[15-20 jahre Männlich]]</x:f>
        <x:v>2</x:v>
      </x:c>
      <x:c r="AO61" t="n">
        <x:f>Tabelle2[[#This Row],[20-25 jahre weiblich]]+Tabelle2[[#This Row],[20-25 jahre Männlich]]</x:f>
        <x:v>1</x:v>
      </x:c>
      <x:c r="AP61" t="n">
        <x:f>Tabelle2[[#This Row],[25-30 Jahre Weiblich]]+Tabelle2[[#This Row],[25-30 jahre Männlich]]</x:f>
        <x:v>6</x:v>
      </x:c>
      <x:c r="AQ61" t="n">
        <x:f>Tabelle2[[#This Row],[30-35 Jahre Weiblich]]+Tabelle2[[#This Row],[30-35 jahre Männlich]]</x:f>
        <x:v>16</x:v>
      </x:c>
      <x:c r="AR61" t="n">
        <x:f>Tabelle2[[#This Row],[35-40 Jahre Weiblich]]+Tabelle2[[#This Row],[35-40 jahre  Männlich]]</x:f>
        <x:v>18</x:v>
      </x:c>
      <x:c r="AS61" t="n">
        <x:f>Tabelle2[[#This Row],[40-45 Jahre Weiblich]]+Tabelle2[[#This Row],[40-45 jahre Männlich]]</x:f>
        <x:v>33</x:v>
      </x:c>
      <x:c r="AT61" t="n">
        <x:f>Tabelle2[[#This Row],[45-50 Jahre Weiblich]]+Tabelle2[[#This Row],[45-50 jahre Männlich]]</x:f>
        <x:v>62</x:v>
      </x:c>
      <x:c r="AU61" t="n">
        <x:f>Tabelle2[[#This Row],[50-55 Jahre Weiblich]]+Tabelle2[[#This Row],[50-55 jahre Männlich]]</x:f>
        <x:v>188</x:v>
      </x:c>
      <x:c r="AV61" t="n">
        <x:f>Tabelle2[[#This Row],[55-60 Jahre Weiblich]]+Tabelle2[[#This Row],[55-60 jahre Männlich]]</x:f>
        <x:v>279</x:v>
      </x:c>
      <x:c r="AW61" t="n">
        <x:f>Tabelle2[[#This Row],[60-65 Jahre Weiblich]]+Tabelle2[[#This Row],[60-65 jahre Männlich]]</x:f>
        <x:v>455</x:v>
      </x:c>
      <x:c r="AX61" t="n">
        <x:f>Tabelle2[[#This Row],[65-70 Jahre Weiblich]]+Tabelle2[[#This Row],[65-70 Jahre  Männlich]]</x:f>
        <x:v>846</x:v>
      </x:c>
      <x:c r="AY61" t="n">
        <x:f>Tabelle2[[#This Row],[70-75Jahre Weiblich]]+Tabelle2[[#This Row],[70-75 jahre Männlch]]</x:f>
        <x:v>1309</x:v>
      </x:c>
      <x:c r="AZ61" t="e">
        <x:f>Tabelle2[[#This Row],[75-80 Jahre Weiblich]]+Tabelle2[[#This Row],[75-80 jahre Männlich]]</x:f>
      </x:c>
      <x:c r="BA61" t="n">
        <x:f>Tabelle2[[#This Row],[80-85 Jahre Weiblich]]+Tabelle2[[#This Row],[80-85 jahre Männlich]]</x:f>
        <x:v>5250</x:v>
      </x:c>
      <x:c r="BB61" t="n">
        <x:f>Tabelle2[[#This Row],[85 und mehr Weiblich]]+Tabelle2[[#This Row],[85 und mehr]]</x:f>
        <x:v>13108</x:v>
      </x:c>
    </x:row>
    <x:row r="62">
      <x:c r="A62" s="1" t="s">
        <x:v>54</x:v>
      </x:c>
      <x:c r="B62" s="2" t="s">
        <x:v>99</x:v>
      </x:c>
      <x:c r="C62" s="3">
        <x:v>2</x:v>
      </x:c>
      <x:c r="D62" s="3">
        <x:v>1</x:v>
      </x:c>
      <x:c r="E62" s="3">
        <x:v>0</x:v>
      </x:c>
      <x:c r="F62" s="3">
        <x:v>0</x:v>
      </x:c>
      <x:c r="G62" s="3">
        <x:v>3</x:v>
      </x:c>
      <x:c r="H62" s="3">
        <x:v>9</x:v>
      </x:c>
      <x:c r="I62" s="3">
        <x:v>8</x:v>
      </x:c>
      <x:c r="J62" s="3">
        <x:v>11</x:v>
      </x:c>
      <x:c r="K62" s="3">
        <x:v>24</x:v>
      </x:c>
      <x:c r="L62" s="3">
        <x:v>84</x:v>
      </x:c>
      <x:c r="M62" s="3">
        <x:v>118</x:v>
      </x:c>
      <x:c r="N62" s="3">
        <x:v>194</x:v>
      </x:c>
      <x:c r="O62" s="3">
        <x:v>364</x:v>
      </x:c>
      <x:c r="P62" s="3">
        <x:v>584</x:v>
      </x:c>
      <x:c r="Q62" s="3">
        <x:v>1226</x:v>
      </x:c>
      <x:c r="R62" s="3">
        <x:v>1864</x:v>
      </x:c>
      <x:c r="S62" s="3">
        <x:v>3571</x:v>
      </x:c>
      <x:c r="T62" s="3">
        <x:v>0</x:v>
      </x:c>
      <x:c r="U62" s="3">
        <x:v>0</x:v>
      </x:c>
      <x:c r="V62" s="3">
        <x:v>0</x:v>
      </x:c>
      <x:c r="W62" s="3">
        <x:v>2</x:v>
      </x:c>
      <x:c r="X62" s="3">
        <x:v>1</x:v>
      </x:c>
      <x:c r="Y62" s="3">
        <x:v>1</x:v>
      </x:c>
      <x:c r="Z62" s="3">
        <x:v>5</x:v>
      </x:c>
      <x:c r="AA62" s="3">
        <x:v>4</x:v>
      </x:c>
      <x:c r="AB62" s="3">
        <x:v>15</x:v>
      </x:c>
      <x:c r="AC62" s="3">
        <x:v>16</x:v>
      </x:c>
      <x:c r="AD62" s="3">
        <x:v>49</x:v>
      </x:c>
      <x:c r="AE62" s="3">
        <x:v>84</x:v>
      </x:c>
      <x:c r="AF62" s="3">
        <x:v>115</x:v>
      </x:c>
      <x:c r="AG62" s="3">
        <x:v>242</x:v>
      </x:c>
      <x:c r="AH62" s="3">
        <x:v>373</x:v>
      </x:c>
      <x:c r="AJ62" s="3">
        <x:v>1947</x:v>
      </x:c>
      <x:c r="AK62" s="3">
        <x:v>6468</x:v>
      </x:c>
      <x:c r="AL62" t="n">
        <x:f>Tabelle2[[#This Row],[1 jahre Weiblich]]+Tabelle2[[#This Row],[unter 1 Jahr Männlich]]</x:f>
        <x:v>2</x:v>
      </x:c>
      <x:c r="AM62" t="n">
        <x:f>Tabelle2[[#This Row],[1-15 Jahre Weiblich]]+Tabelle2[[#This Row],[1-15 jahre Mänlich]]</x:f>
        <x:v>1</x:v>
      </x:c>
      <x:c r="AN62" t="n">
        <x:f>Tabelle2[[#This Row],[15-20 Jahre Weiblich]]+Tabelle2[[#This Row],[15-20 jahre Männlich]]</x:f>
        <x:v>2</x:v>
      </x:c>
      <x:c r="AO62" t="n">
        <x:f>Tabelle2[[#This Row],[20-25 jahre weiblich]]+Tabelle2[[#This Row],[20-25 jahre Männlich]]</x:f>
        <x:v>1</x:v>
      </x:c>
      <x:c r="AP62" t="n">
        <x:f>Tabelle2[[#This Row],[25-30 Jahre Weiblich]]+Tabelle2[[#This Row],[25-30 jahre Männlich]]</x:f>
        <x:v>4</x:v>
      </x:c>
      <x:c r="AQ62" t="n">
        <x:f>Tabelle2[[#This Row],[30-35 Jahre Weiblich]]+Tabelle2[[#This Row],[30-35 jahre Männlich]]</x:f>
        <x:v>14</x:v>
      </x:c>
      <x:c r="AR62" t="n">
        <x:f>Tabelle2[[#This Row],[35-40 Jahre Weiblich]]+Tabelle2[[#This Row],[35-40 jahre  Männlich]]</x:f>
        <x:v>12</x:v>
      </x:c>
      <x:c r="AS62" t="n">
        <x:f>Tabelle2[[#This Row],[40-45 Jahre Weiblich]]+Tabelle2[[#This Row],[40-45 jahre Männlich]]</x:f>
        <x:v>26</x:v>
      </x:c>
      <x:c r="AT62" t="n">
        <x:f>Tabelle2[[#This Row],[45-50 Jahre Weiblich]]+Tabelle2[[#This Row],[45-50 jahre Männlich]]</x:f>
        <x:v>40</x:v>
      </x:c>
      <x:c r="AU62" t="n">
        <x:f>Tabelle2[[#This Row],[50-55 Jahre Weiblich]]+Tabelle2[[#This Row],[50-55 jahre Männlich]]</x:f>
        <x:v>133</x:v>
      </x:c>
      <x:c r="AV62" t="n">
        <x:f>Tabelle2[[#This Row],[55-60 Jahre Weiblich]]+Tabelle2[[#This Row],[55-60 jahre Männlich]]</x:f>
        <x:v>202</x:v>
      </x:c>
      <x:c r="AW62" t="n">
        <x:f>Tabelle2[[#This Row],[60-65 Jahre Weiblich]]+Tabelle2[[#This Row],[60-65 jahre Männlich]]</x:f>
        <x:v>309</x:v>
      </x:c>
      <x:c r="AX62" t="n">
        <x:f>Tabelle2[[#This Row],[65-70 Jahre Weiblich]]+Tabelle2[[#This Row],[65-70 Jahre  Männlich]]</x:f>
        <x:v>606</x:v>
      </x:c>
      <x:c r="AY62" t="n">
        <x:f>Tabelle2[[#This Row],[70-75Jahre Weiblich]]+Tabelle2[[#This Row],[70-75 jahre Männlch]]</x:f>
        <x:v>957</x:v>
      </x:c>
      <x:c r="AZ62" t="e">
        <x:f>Tabelle2[[#This Row],[75-80 Jahre Weiblich]]+Tabelle2[[#This Row],[75-80 jahre Männlich]]</x:f>
      </x:c>
      <x:c r="BA62" t="n">
        <x:f>Tabelle2[[#This Row],[80-85 Jahre Weiblich]]+Tabelle2[[#This Row],[80-85 jahre Männlich]]</x:f>
        <x:v>3811</x:v>
      </x:c>
      <x:c r="BB62" t="n">
        <x:f>Tabelle2[[#This Row],[85 und mehr Weiblich]]+Tabelle2[[#This Row],[85 und mehr]]</x:f>
        <x:v>10039</x:v>
      </x:c>
    </x:row>
    <x:row r="63">
      <x:c r="A63" s="1" t="s">
        <x:v>54</x:v>
      </x:c>
      <x:c r="B63" s="2" t="s">
        <x:v>100</x:v>
      </x:c>
      <x:c r="C63" s="3">
        <x:v>0</x:v>
      </x:c>
      <x:c r="D63" s="3">
        <x:v>0</x:v>
      </x:c>
      <x:c r="E63" s="3">
        <x:v>0</x:v>
      </x:c>
      <x:c r="F63" s="3">
        <x:v>0</x:v>
      </x:c>
      <x:c r="G63" s="3">
        <x:v>0</x:v>
      </x:c>
      <x:c r="H63" s="3">
        <x:v>0</x:v>
      </x:c>
      <x:c r="I63" s="3">
        <x:v>0</x:v>
      </x:c>
      <x:c r="J63" s="3">
        <x:v>0</x:v>
      </x:c>
      <x:c r="K63" s="3">
        <x:v>0</x:v>
      </x:c>
      <x:c r="L63" s="3">
        <x:v>0</x:v>
      </x:c>
      <x:c r="M63" s="3">
        <x:v>0</x:v>
      </x:c>
      <x:c r="N63" s="3">
        <x:v>0</x:v>
      </x:c>
      <x:c r="O63" s="3">
        <x:v>0</x:v>
      </x:c>
      <x:c r="P63" s="3">
        <x:v>0</x:v>
      </x:c>
      <x:c r="Q63" s="3">
        <x:v>0</x:v>
      </x:c>
      <x:c r="R63" s="3">
        <x:v>0</x:v>
      </x:c>
      <x:c r="S63" s="3">
        <x:v>0</x:v>
      </x:c>
      <x:c r="T63" s="3">
        <x:v>0</x:v>
      </x:c>
      <x:c r="U63" s="3">
        <x:v>0</x:v>
      </x:c>
      <x:c r="V63" s="3">
        <x:v>0</x:v>
      </x:c>
      <x:c r="W63" s="3">
        <x:v>0</x:v>
      </x:c>
      <x:c r="X63" s="3">
        <x:v>0</x:v>
      </x:c>
      <x:c r="Y63" s="3">
        <x:v>5</x:v>
      </x:c>
      <x:c r="Z63" s="3">
        <x:v>7</x:v>
      </x:c>
      <x:c r="AA63" s="3">
        <x:v>9</x:v>
      </x:c>
      <x:c r="AB63" s="3">
        <x:v>3</x:v>
      </x:c>
      <x:c r="AC63" s="3">
        <x:v>1</x:v>
      </x:c>
      <x:c r="AD63" s="3">
        <x:v>0</x:v>
      </x:c>
      <x:c r="AE63" s="3">
        <x:v>0</x:v>
      </x:c>
      <x:c r="AF63" s="3">
        <x:v>0</x:v>
      </x:c>
      <x:c r="AG63" s="3">
        <x:v>0</x:v>
      </x:c>
      <x:c r="AH63" s="3">
        <x:v>0</x:v>
      </x:c>
      <x:c r="AJ63" s="3">
        <x:v>0</x:v>
      </x:c>
      <x:c r="AK63" s="3">
        <x:v>0</x:v>
      </x:c>
      <x:c r="AL63" t="n">
        <x:f>Tabelle2[[#This Row],[1 jahre Weiblich]]+Tabelle2[[#This Row],[unter 1 Jahr Männlich]]</x:f>
        <x:v>0</x:v>
      </x:c>
      <x:c r="AM63" t="n">
        <x:f>Tabelle2[[#This Row],[1-15 Jahre Weiblich]]+Tabelle2[[#This Row],[1-15 jahre Mänlich]]</x:f>
        <x:v>0</x:v>
      </x:c>
      <x:c r="AN63" t="n">
        <x:f>Tabelle2[[#This Row],[15-20 Jahre Weiblich]]+Tabelle2[[#This Row],[15-20 jahre Männlich]]</x:f>
        <x:v>0</x:v>
      </x:c>
      <x:c r="AO63" t="n">
        <x:f>Tabelle2[[#This Row],[20-25 jahre weiblich]]+Tabelle2[[#This Row],[20-25 jahre Männlich]]</x:f>
        <x:v>0</x:v>
      </x:c>
      <x:c r="AP63" t="n">
        <x:f>Tabelle2[[#This Row],[25-30 Jahre Weiblich]]+Tabelle2[[#This Row],[25-30 jahre Männlich]]</x:f>
        <x:v>5</x:v>
      </x:c>
      <x:c r="AQ63" t="n">
        <x:f>Tabelle2[[#This Row],[30-35 Jahre Weiblich]]+Tabelle2[[#This Row],[30-35 jahre Männlich]]</x:f>
        <x:v>7</x:v>
      </x:c>
      <x:c r="AR63" t="n">
        <x:f>Tabelle2[[#This Row],[35-40 Jahre Weiblich]]+Tabelle2[[#This Row],[35-40 jahre  Männlich]]</x:f>
        <x:v>9</x:v>
      </x:c>
      <x:c r="AS63" t="n">
        <x:f>Tabelle2[[#This Row],[40-45 Jahre Weiblich]]+Tabelle2[[#This Row],[40-45 jahre Männlich]]</x:f>
        <x:v>3</x:v>
      </x:c>
      <x:c r="AT63" t="n">
        <x:f>Tabelle2[[#This Row],[45-50 Jahre Weiblich]]+Tabelle2[[#This Row],[45-50 jahre Männlich]]</x:f>
        <x:v>1</x:v>
      </x:c>
      <x:c r="AU63" t="n">
        <x:f>Tabelle2[[#This Row],[50-55 Jahre Weiblich]]+Tabelle2[[#This Row],[50-55 jahre Männlich]]</x:f>
        <x:v>0</x:v>
      </x:c>
      <x:c r="AV63" t="n">
        <x:f>Tabelle2[[#This Row],[55-60 Jahre Weiblich]]+Tabelle2[[#This Row],[55-60 jahre Männlich]]</x:f>
        <x:v>0</x:v>
      </x:c>
      <x:c r="AW63" t="n">
        <x:f>Tabelle2[[#This Row],[60-65 Jahre Weiblich]]+Tabelle2[[#This Row],[60-65 jahre Männlich]]</x:f>
        <x:v>0</x:v>
      </x:c>
      <x:c r="AX63" t="n">
        <x:f>Tabelle2[[#This Row],[65-70 Jahre Weiblich]]+Tabelle2[[#This Row],[65-70 Jahre  Männlich]]</x:f>
        <x:v>0</x:v>
      </x:c>
      <x:c r="AY63" t="n">
        <x:f>Tabelle2[[#This Row],[70-75Jahre Weiblich]]+Tabelle2[[#This Row],[70-75 jahre Männlch]]</x:f>
        <x:v>0</x:v>
      </x:c>
      <x:c r="AZ63" t="e">
        <x:f>Tabelle2[[#This Row],[75-80 Jahre Weiblich]]+Tabelle2[[#This Row],[75-80 jahre Männlich]]</x:f>
      </x:c>
      <x:c r="BA63" t="n">
        <x:f>Tabelle2[[#This Row],[80-85 Jahre Weiblich]]+Tabelle2[[#This Row],[80-85 jahre Männlich]]</x:f>
        <x:v>0</x:v>
      </x:c>
      <x:c r="BB63" t="n">
        <x:f>Tabelle2[[#This Row],[85 und mehr Weiblich]]+Tabelle2[[#This Row],[85 und mehr]]</x:f>
        <x:v>0</x:v>
      </x:c>
    </x:row>
    <x:row r="64">
      <x:c r="A64" s="1" t="s">
        <x:v>54</x:v>
      </x:c>
      <x:c r="B64" s="2" t="s">
        <x:v>101</x:v>
      </x:c>
      <x:c r="C64" s="3">
        <x:v>773</x:v>
      </x:c>
      <x:c r="D64" s="3">
        <x:v>7</x:v>
      </x:c>
      <x:c r="E64" s="3">
        <x:v>3</x:v>
      </x:c>
      <x:c r="F64" s="3">
        <x:v>2</x:v>
      </x:c>
      <x:c r="G64" s="3">
        <x:v>4</x:v>
      </x:c>
      <x:c r="H64" s="3">
        <x:v>2</x:v>
      </x:c>
      <x:c r="I64" s="3">
        <x:v>2</x:v>
      </x:c>
      <x:c r="J64" s="3">
        <x:v>4</x:v>
      </x:c>
      <x:c r="K64" s="3">
        <x:v>2</x:v>
      </x:c>
      <x:c r="L64" s="3">
        <x:v>8</x:v>
      </x:c>
      <x:c r="M64" s="3">
        <x:v>7</x:v>
      </x:c>
      <x:c r="N64" s="3">
        <x:v>7</x:v>
      </x:c>
      <x:c r="O64" s="3">
        <x:v>7</x:v>
      </x:c>
      <x:c r="P64" s="3">
        <x:v>8</x:v>
      </x:c>
      <x:c r="Q64" s="3">
        <x:v>5</x:v>
      </x:c>
      <x:c r="R64" s="3">
        <x:v>3</x:v>
      </x:c>
      <x:c r="S64" s="3">
        <x:v>3</x:v>
      </x:c>
      <x:c r="T64" s="3">
        <x:v>0</x:v>
      </x:c>
      <x:c r="U64" s="3">
        <x:v>572</x:v>
      </x:c>
      <x:c r="V64" s="3">
        <x:v>3</x:v>
      </x:c>
      <x:c r="W64" s="3">
        <x:v>1</x:v>
      </x:c>
      <x:c r="X64" s="3">
        <x:v>4</x:v>
      </x:c>
      <x:c r="Y64" s="3">
        <x:v>2</x:v>
      </x:c>
      <x:c r="Z64" s="3">
        <x:v>2</x:v>
      </x:c>
      <x:c r="AA64" s="3">
        <x:v>0</x:v>
      </x:c>
      <x:c r="AB64" s="3">
        <x:v>2</x:v>
      </x:c>
      <x:c r="AC64" s="3">
        <x:v>0</x:v>
      </x:c>
      <x:c r="AD64" s="3">
        <x:v>3</x:v>
      </x:c>
      <x:c r="AE64" s="3">
        <x:v>4</x:v>
      </x:c>
      <x:c r="AF64" s="3">
        <x:v>3</x:v>
      </x:c>
      <x:c r="AG64" s="3">
        <x:v>3</x:v>
      </x:c>
      <x:c r="AH64" s="3">
        <x:v>3</x:v>
      </x:c>
      <x:c r="AJ64" s="3">
        <x:v>2</x:v>
      </x:c>
      <x:c r="AK64" s="3">
        <x:v>8</x:v>
      </x:c>
      <x:c r="AL64" t="n">
        <x:f>Tabelle2[[#This Row],[1 jahre Weiblich]]+Tabelle2[[#This Row],[unter 1 Jahr Männlich]]</x:f>
        <x:v>1345</x:v>
      </x:c>
      <x:c r="AM64" t="n">
        <x:f>Tabelle2[[#This Row],[1-15 Jahre Weiblich]]+Tabelle2[[#This Row],[1-15 jahre Mänlich]]</x:f>
        <x:v>10</x:v>
      </x:c>
      <x:c r="AN64" t="n">
        <x:f>Tabelle2[[#This Row],[15-20 Jahre Weiblich]]+Tabelle2[[#This Row],[15-20 jahre Männlich]]</x:f>
        <x:v>4</x:v>
      </x:c>
      <x:c r="AO64" t="n">
        <x:f>Tabelle2[[#This Row],[20-25 jahre weiblich]]+Tabelle2[[#This Row],[20-25 jahre Männlich]]</x:f>
        <x:v>6</x:v>
      </x:c>
      <x:c r="AP64" t="n">
        <x:f>Tabelle2[[#This Row],[25-30 Jahre Weiblich]]+Tabelle2[[#This Row],[25-30 jahre Männlich]]</x:f>
        <x:v>6</x:v>
      </x:c>
      <x:c r="AQ64" t="n">
        <x:f>Tabelle2[[#This Row],[30-35 Jahre Weiblich]]+Tabelle2[[#This Row],[30-35 jahre Männlich]]</x:f>
        <x:v>4</x:v>
      </x:c>
      <x:c r="AR64" t="n">
        <x:f>Tabelle2[[#This Row],[35-40 Jahre Weiblich]]+Tabelle2[[#This Row],[35-40 jahre  Männlich]]</x:f>
        <x:v>2</x:v>
      </x:c>
      <x:c r="AS64" t="n">
        <x:f>Tabelle2[[#This Row],[40-45 Jahre Weiblich]]+Tabelle2[[#This Row],[40-45 jahre Männlich]]</x:f>
        <x:v>6</x:v>
      </x:c>
      <x:c r="AT64" t="n">
        <x:f>Tabelle2[[#This Row],[45-50 Jahre Weiblich]]+Tabelle2[[#This Row],[45-50 jahre Männlich]]</x:f>
        <x:v>2</x:v>
      </x:c>
      <x:c r="AU64" t="n">
        <x:f>Tabelle2[[#This Row],[50-55 Jahre Weiblich]]+Tabelle2[[#This Row],[50-55 jahre Männlich]]</x:f>
        <x:v>11</x:v>
      </x:c>
      <x:c r="AV64" t="n">
        <x:f>Tabelle2[[#This Row],[55-60 Jahre Weiblich]]+Tabelle2[[#This Row],[55-60 jahre Männlich]]</x:f>
        <x:v>11</x:v>
      </x:c>
      <x:c r="AW64" t="n">
        <x:f>Tabelle2[[#This Row],[60-65 Jahre Weiblich]]+Tabelle2[[#This Row],[60-65 jahre Männlich]]</x:f>
        <x:v>10</x:v>
      </x:c>
      <x:c r="AX64" t="n">
        <x:f>Tabelle2[[#This Row],[65-70 Jahre Weiblich]]+Tabelle2[[#This Row],[65-70 Jahre  Männlich]]</x:f>
        <x:v>10</x:v>
      </x:c>
      <x:c r="AY64" t="n">
        <x:f>Tabelle2[[#This Row],[70-75Jahre Weiblich]]+Tabelle2[[#This Row],[70-75 jahre Männlch]]</x:f>
        <x:v>11</x:v>
      </x:c>
      <x:c r="AZ64" t="e">
        <x:f>Tabelle2[[#This Row],[75-80 Jahre Weiblich]]+Tabelle2[[#This Row],[75-80 jahre Männlich]]</x:f>
      </x:c>
      <x:c r="BA64" t="n">
        <x:f>Tabelle2[[#This Row],[80-85 Jahre Weiblich]]+Tabelle2[[#This Row],[80-85 jahre Männlich]]</x:f>
        <x:v>5</x:v>
      </x:c>
      <x:c r="BB64" t="n">
        <x:f>Tabelle2[[#This Row],[85 und mehr Weiblich]]+Tabelle2[[#This Row],[85 und mehr]]</x:f>
        <x:v>11</x:v>
      </x:c>
    </x:row>
    <x:row r="65">
      <x:c r="A65" s="1" t="s">
        <x:v>54</x:v>
      </x:c>
      <x:c r="B65" s="2" t="s">
        <x:v>102</x:v>
      </x:c>
      <x:c r="C65" s="3">
        <x:v>369</x:v>
      </x:c>
      <x:c r="D65" s="3">
        <x:v>72</x:v>
      </x:c>
      <x:c r="E65" s="3">
        <x:v>25</x:v>
      </x:c>
      <x:c r="F65" s="3">
        <x:v>22</x:v>
      </x:c>
      <x:c r="G65" s="3">
        <x:v>20</x:v>
      </x:c>
      <x:c r="H65" s="3">
        <x:v>18</x:v>
      </x:c>
      <x:c r="I65" s="3">
        <x:v>18</x:v>
      </x:c>
      <x:c r="J65" s="3">
        <x:v>25</x:v>
      </x:c>
      <x:c r="K65" s="3">
        <x:v>39</x:v>
      </x:c>
      <x:c r="L65" s="3">
        <x:v>70</x:v>
      </x:c>
      <x:c r="M65" s="3">
        <x:v>123</x:v>
      </x:c>
      <x:c r="N65" s="3">
        <x:v>95</x:v>
      </x:c>
      <x:c r="O65" s="3">
        <x:v>56</x:v>
      </x:c>
      <x:c r="P65" s="3">
        <x:v>35</x:v>
      </x:c>
      <x:c r="Q65" s="3">
        <x:v>36</x:v>
      </x:c>
      <x:c r="R65" s="3">
        <x:v>37</x:v>
      </x:c>
      <x:c r="S65" s="3">
        <x:v>38</x:v>
      </x:c>
      <x:c r="T65" s="3">
        <x:v>0</x:v>
      </x:c>
      <x:c r="U65" s="3">
        <x:v>327</x:v>
      </x:c>
      <x:c r="V65" s="3">
        <x:v>76</x:v>
      </x:c>
      <x:c r="W65" s="3">
        <x:v>13</x:v>
      </x:c>
      <x:c r="X65" s="3">
        <x:v>14</x:v>
      </x:c>
      <x:c r="Y65" s="3">
        <x:v>21</x:v>
      </x:c>
      <x:c r="Z65" s="3">
        <x:v>17</x:v>
      </x:c>
      <x:c r="AA65" s="3">
        <x:v>20</x:v>
      </x:c>
      <x:c r="AB65" s="3">
        <x:v>20</x:v>
      </x:c>
      <x:c r="AC65" s="3">
        <x:v>37</x:v>
      </x:c>
      <x:c r="AD65" s="3">
        <x:v>46</x:v>
      </x:c>
      <x:c r="AE65" s="3">
        <x:v>81</x:v>
      </x:c>
      <x:c r="AF65" s="3">
        <x:v>82</x:v>
      </x:c>
      <x:c r="AG65" s="3">
        <x:v>67</x:v>
      </x:c>
      <x:c r="AH65" s="3">
        <x:v>45</x:v>
      </x:c>
      <x:c r="AJ65" s="3">
        <x:v>50</x:v>
      </x:c>
      <x:c r="AK65" s="3">
        <x:v>67</x:v>
      </x:c>
      <x:c r="AL65" t="n">
        <x:f>Tabelle2[[#This Row],[1 jahre Weiblich]]+Tabelle2[[#This Row],[unter 1 Jahr Männlich]]</x:f>
        <x:v>696</x:v>
      </x:c>
      <x:c r="AM65" t="n">
        <x:f>Tabelle2[[#This Row],[1-15 Jahre Weiblich]]+Tabelle2[[#This Row],[1-15 jahre Mänlich]]</x:f>
        <x:v>148</x:v>
      </x:c>
      <x:c r="AN65" t="n">
        <x:f>Tabelle2[[#This Row],[15-20 Jahre Weiblich]]+Tabelle2[[#This Row],[15-20 jahre Männlich]]</x:f>
        <x:v>38</x:v>
      </x:c>
      <x:c r="AO65" t="n">
        <x:f>Tabelle2[[#This Row],[20-25 jahre weiblich]]+Tabelle2[[#This Row],[20-25 jahre Männlich]]</x:f>
        <x:v>36</x:v>
      </x:c>
      <x:c r="AP65" t="n">
        <x:f>Tabelle2[[#This Row],[25-30 Jahre Weiblich]]+Tabelle2[[#This Row],[25-30 jahre Männlich]]</x:f>
        <x:v>41</x:v>
      </x:c>
      <x:c r="AQ65" t="n">
        <x:f>Tabelle2[[#This Row],[30-35 Jahre Weiblich]]+Tabelle2[[#This Row],[30-35 jahre Männlich]]</x:f>
        <x:v>35</x:v>
      </x:c>
      <x:c r="AR65" t="n">
        <x:f>Tabelle2[[#This Row],[35-40 Jahre Weiblich]]+Tabelle2[[#This Row],[35-40 jahre  Männlich]]</x:f>
        <x:v>38</x:v>
      </x:c>
      <x:c r="AS65" t="n">
        <x:f>Tabelle2[[#This Row],[40-45 Jahre Weiblich]]+Tabelle2[[#This Row],[40-45 jahre Männlich]]</x:f>
        <x:v>45</x:v>
      </x:c>
      <x:c r="AT65" t="n">
        <x:f>Tabelle2[[#This Row],[45-50 Jahre Weiblich]]+Tabelle2[[#This Row],[45-50 jahre Männlich]]</x:f>
        <x:v>76</x:v>
      </x:c>
      <x:c r="AU65" t="n">
        <x:f>Tabelle2[[#This Row],[50-55 Jahre Weiblich]]+Tabelle2[[#This Row],[50-55 jahre Männlich]]</x:f>
        <x:v>116</x:v>
      </x:c>
      <x:c r="AV65" t="n">
        <x:f>Tabelle2[[#This Row],[55-60 Jahre Weiblich]]+Tabelle2[[#This Row],[55-60 jahre Männlich]]</x:f>
        <x:v>204</x:v>
      </x:c>
      <x:c r="AW65" t="n">
        <x:f>Tabelle2[[#This Row],[60-65 Jahre Weiblich]]+Tabelle2[[#This Row],[60-65 jahre Männlich]]</x:f>
        <x:v>177</x:v>
      </x:c>
      <x:c r="AX65" t="n">
        <x:f>Tabelle2[[#This Row],[65-70 Jahre Weiblich]]+Tabelle2[[#This Row],[65-70 Jahre  Männlich]]</x:f>
        <x:v>123</x:v>
      </x:c>
      <x:c r="AY65" t="n">
        <x:f>Tabelle2[[#This Row],[70-75Jahre Weiblich]]+Tabelle2[[#This Row],[70-75 jahre Männlch]]</x:f>
        <x:v>80</x:v>
      </x:c>
      <x:c r="AZ65" t="e">
        <x:f>Tabelle2[[#This Row],[75-80 Jahre Weiblich]]+Tabelle2[[#This Row],[75-80 jahre Männlich]]</x:f>
      </x:c>
      <x:c r="BA65" t="n">
        <x:f>Tabelle2[[#This Row],[80-85 Jahre Weiblich]]+Tabelle2[[#This Row],[80-85 jahre Männlich]]</x:f>
        <x:v>87</x:v>
      </x:c>
      <x:c r="BB65" t="n">
        <x:f>Tabelle2[[#This Row],[85 und mehr Weiblich]]+Tabelle2[[#This Row],[85 und mehr]]</x:f>
        <x:v>105</x:v>
      </x:c>
    </x:row>
    <x:row r="66">
      <x:c r="A66" s="1" t="s">
        <x:v>54</x:v>
      </x:c>
      <x:c r="B66" s="2" t="s">
        <x:v>103</x:v>
      </x:c>
      <x:c r="C66" s="3">
        <x:v>22</x:v>
      </x:c>
      <x:c r="D66" s="3">
        <x:v>18</x:v>
      </x:c>
      <x:c r="E66" s="3">
        <x:v>3</x:v>
      </x:c>
      <x:c r="F66" s="3">
        <x:v>4</x:v>
      </x:c>
      <x:c r="G66" s="3">
        <x:v>3</x:v>
      </x:c>
      <x:c r="H66" s="3">
        <x:v>2</x:v>
      </x:c>
      <x:c r="I66" s="3">
        <x:v>4</x:v>
      </x:c>
      <x:c r="J66" s="3">
        <x:v>1</x:v>
      </x:c>
      <x:c r="K66" s="3">
        <x:v>3</x:v>
      </x:c>
      <x:c r="L66" s="3">
        <x:v>0</x:v>
      </x:c>
      <x:c r="M66" s="3">
        <x:v>1</x:v>
      </x:c>
      <x:c r="N66" s="3">
        <x:v>2</x:v>
      </x:c>
      <x:c r="O66" s="3">
        <x:v>3</x:v>
      </x:c>
      <x:c r="P66" s="3">
        <x:v>0</x:v>
      </x:c>
      <x:c r="Q66" s="3">
        <x:v>0</x:v>
      </x:c>
      <x:c r="R66" s="3">
        <x:v>1</x:v>
      </x:c>
      <x:c r="S66" s="3">
        <x:v>4</x:v>
      </x:c>
      <x:c r="T66" s="3">
        <x:v>0</x:v>
      </x:c>
      <x:c r="U66" s="3">
        <x:v>43</x:v>
      </x:c>
      <x:c r="V66" s="3">
        <x:v>23</x:v>
      </x:c>
      <x:c r="W66" s="3">
        <x:v>2</x:v>
      </x:c>
      <x:c r="X66" s="3">
        <x:v>3</x:v>
      </x:c>
      <x:c r="Y66" s="3">
        <x:v>2</x:v>
      </x:c>
      <x:c r="Z66" s="3">
        <x:v>0</x:v>
      </x:c>
      <x:c r="AA66" s="3">
        <x:v>3</x:v>
      </x:c>
      <x:c r="AB66" s="3">
        <x:v>4</x:v>
      </x:c>
      <x:c r="AC66" s="3">
        <x:v>2</x:v>
      </x:c>
      <x:c r="AD66" s="3">
        <x:v>2</x:v>
      </x:c>
      <x:c r="AE66" s="3">
        <x:v>2</x:v>
      </x:c>
      <x:c r="AF66" s="3">
        <x:v>1</x:v>
      </x:c>
      <x:c r="AG66" s="3">
        <x:v>0</x:v>
      </x:c>
      <x:c r="AH66" s="3">
        <x:v>2</x:v>
      </x:c>
      <x:c r="AJ66" s="3">
        <x:v>2</x:v>
      </x:c>
      <x:c r="AK66" s="3">
        <x:v>2</x:v>
      </x:c>
      <x:c r="AL66" t="n">
        <x:f>Tabelle2[[#This Row],[1 jahre Weiblich]]+Tabelle2[[#This Row],[unter 1 Jahr Männlich]]</x:f>
        <x:v>65</x:v>
      </x:c>
      <x:c r="AM66" t="n">
        <x:f>Tabelle2[[#This Row],[1-15 Jahre Weiblich]]+Tabelle2[[#This Row],[1-15 jahre Mänlich]]</x:f>
        <x:v>41</x:v>
      </x:c>
      <x:c r="AN66" t="n">
        <x:f>Tabelle2[[#This Row],[15-20 Jahre Weiblich]]+Tabelle2[[#This Row],[15-20 jahre Männlich]]</x:f>
        <x:v>5</x:v>
      </x:c>
      <x:c r="AO66" t="n">
        <x:f>Tabelle2[[#This Row],[20-25 jahre weiblich]]+Tabelle2[[#This Row],[20-25 jahre Männlich]]</x:f>
        <x:v>7</x:v>
      </x:c>
      <x:c r="AP66" t="n">
        <x:f>Tabelle2[[#This Row],[25-30 Jahre Weiblich]]+Tabelle2[[#This Row],[25-30 jahre Männlich]]</x:f>
        <x:v>5</x:v>
      </x:c>
      <x:c r="AQ66" t="n">
        <x:f>Tabelle2[[#This Row],[30-35 Jahre Weiblich]]+Tabelle2[[#This Row],[30-35 jahre Männlich]]</x:f>
        <x:v>2</x:v>
      </x:c>
      <x:c r="AR66" t="n">
        <x:f>Tabelle2[[#This Row],[35-40 Jahre Weiblich]]+Tabelle2[[#This Row],[35-40 jahre  Männlich]]</x:f>
        <x:v>7</x:v>
      </x:c>
      <x:c r="AS66" t="n">
        <x:f>Tabelle2[[#This Row],[40-45 Jahre Weiblich]]+Tabelle2[[#This Row],[40-45 jahre Männlich]]</x:f>
        <x:v>5</x:v>
      </x:c>
      <x:c r="AT66" t="n">
        <x:f>Tabelle2[[#This Row],[45-50 Jahre Weiblich]]+Tabelle2[[#This Row],[45-50 jahre Männlich]]</x:f>
        <x:v>5</x:v>
      </x:c>
      <x:c r="AU66" t="n">
        <x:f>Tabelle2[[#This Row],[50-55 Jahre Weiblich]]+Tabelle2[[#This Row],[50-55 jahre Männlich]]</x:f>
        <x:v>2</x:v>
      </x:c>
      <x:c r="AV66" t="n">
        <x:f>Tabelle2[[#This Row],[55-60 Jahre Weiblich]]+Tabelle2[[#This Row],[55-60 jahre Männlich]]</x:f>
        <x:v>3</x:v>
      </x:c>
      <x:c r="AW66" t="n">
        <x:f>Tabelle2[[#This Row],[60-65 Jahre Weiblich]]+Tabelle2[[#This Row],[60-65 jahre Männlich]]</x:f>
        <x:v>3</x:v>
      </x:c>
      <x:c r="AX66" t="n">
        <x:f>Tabelle2[[#This Row],[65-70 Jahre Weiblich]]+Tabelle2[[#This Row],[65-70 Jahre  Männlich]]</x:f>
        <x:v>3</x:v>
      </x:c>
      <x:c r="AY66" t="n">
        <x:f>Tabelle2[[#This Row],[70-75Jahre Weiblich]]+Tabelle2[[#This Row],[70-75 jahre Männlch]]</x:f>
        <x:v>2</x:v>
      </x:c>
      <x:c r="AZ66" t="e">
        <x:f>Tabelle2[[#This Row],[75-80 Jahre Weiblich]]+Tabelle2[[#This Row],[75-80 jahre Männlich]]</x:f>
      </x:c>
      <x:c r="BA66" t="n">
        <x:f>Tabelle2[[#This Row],[80-85 Jahre Weiblich]]+Tabelle2[[#This Row],[80-85 jahre Männlich]]</x:f>
        <x:v>3</x:v>
      </x:c>
      <x:c r="BB66" t="n">
        <x:f>Tabelle2[[#This Row],[85 und mehr Weiblich]]+Tabelle2[[#This Row],[85 und mehr]]</x:f>
        <x:v>6</x:v>
      </x:c>
    </x:row>
    <x:row r="67">
      <x:c r="A67" s="1" t="s">
        <x:v>54</x:v>
      </x:c>
      <x:c r="B67" s="2" t="s">
        <x:v>104</x:v>
      </x:c>
      <x:c r="C67" s="3">
        <x:v>107</x:v>
      </x:c>
      <x:c r="D67" s="3">
        <x:v>19</x:v>
      </x:c>
      <x:c r="E67" s="3">
        <x:v>10</x:v>
      </x:c>
      <x:c r="F67" s="3">
        <x:v>4</x:v>
      </x:c>
      <x:c r="G67" s="3">
        <x:v>7</x:v>
      </x:c>
      <x:c r="H67" s="3">
        <x:v>8</x:v>
      </x:c>
      <x:c r="I67" s="3">
        <x:v>4</x:v>
      </x:c>
      <x:c r="J67" s="3">
        <x:v>8</x:v>
      </x:c>
      <x:c r="K67" s="3">
        <x:v>10</x:v>
      </x:c>
      <x:c r="L67" s="3">
        <x:v>14</x:v>
      </x:c>
      <x:c r="M67" s="3">
        <x:v>15</x:v>
      </x:c>
      <x:c r="N67" s="3">
        <x:v>22</x:v>
      </x:c>
      <x:c r="O67" s="3">
        <x:v>6</x:v>
      </x:c>
      <x:c r="P67" s="3">
        <x:v>12</x:v>
      </x:c>
      <x:c r="Q67" s="3">
        <x:v>21</x:v>
      </x:c>
      <x:c r="R67" s="3">
        <x:v>17</x:v>
      </x:c>
      <x:c r="S67" s="3">
        <x:v>13</x:v>
      </x:c>
      <x:c r="T67" s="3">
        <x:v>0</x:v>
      </x:c>
      <x:c r="U67" s="3">
        <x:v>103</x:v>
      </x:c>
      <x:c r="V67" s="3">
        <x:v>18</x:v>
      </x:c>
      <x:c r="W67" s="3">
        <x:v>6</x:v>
      </x:c>
      <x:c r="X67" s="3">
        <x:v>2</x:v>
      </x:c>
      <x:c r="Y67" s="3">
        <x:v>10</x:v>
      </x:c>
      <x:c r="Z67" s="3">
        <x:v>7</x:v>
      </x:c>
      <x:c r="AA67" s="3">
        <x:v>5</x:v>
      </x:c>
      <x:c r="AB67" s="3">
        <x:v>5</x:v>
      </x:c>
      <x:c r="AC67" s="3">
        <x:v>17</x:v>
      </x:c>
      <x:c r="AD67" s="3">
        <x:v>5</x:v>
      </x:c>
      <x:c r="AE67" s="3">
        <x:v>17</x:v>
      </x:c>
      <x:c r="AF67" s="3">
        <x:v>11</x:v>
      </x:c>
      <x:c r="AG67" s="3">
        <x:v>9</x:v>
      </x:c>
      <x:c r="AH67" s="3">
        <x:v>11</x:v>
      </x:c>
      <x:c r="AJ67" s="3">
        <x:v>28</x:v>
      </x:c>
      <x:c r="AK67" s="3">
        <x:v>30</x:v>
      </x:c>
      <x:c r="AL67" t="n">
        <x:f>Tabelle2[[#This Row],[1 jahre Weiblich]]+Tabelle2[[#This Row],[unter 1 Jahr Männlich]]</x:f>
        <x:v>210</x:v>
      </x:c>
      <x:c r="AM67" t="n">
        <x:f>Tabelle2[[#This Row],[1-15 Jahre Weiblich]]+Tabelle2[[#This Row],[1-15 jahre Mänlich]]</x:f>
        <x:v>37</x:v>
      </x:c>
      <x:c r="AN67" t="n">
        <x:f>Tabelle2[[#This Row],[15-20 Jahre Weiblich]]+Tabelle2[[#This Row],[15-20 jahre Männlich]]</x:f>
        <x:v>16</x:v>
      </x:c>
      <x:c r="AO67" t="n">
        <x:f>Tabelle2[[#This Row],[20-25 jahre weiblich]]+Tabelle2[[#This Row],[20-25 jahre Männlich]]</x:f>
        <x:v>6</x:v>
      </x:c>
      <x:c r="AP67" t="n">
        <x:f>Tabelle2[[#This Row],[25-30 Jahre Weiblich]]+Tabelle2[[#This Row],[25-30 jahre Männlich]]</x:f>
        <x:v>17</x:v>
      </x:c>
      <x:c r="AQ67" t="n">
        <x:f>Tabelle2[[#This Row],[30-35 Jahre Weiblich]]+Tabelle2[[#This Row],[30-35 jahre Männlich]]</x:f>
        <x:v>15</x:v>
      </x:c>
      <x:c r="AR67" t="n">
        <x:f>Tabelle2[[#This Row],[35-40 Jahre Weiblich]]+Tabelle2[[#This Row],[35-40 jahre  Männlich]]</x:f>
        <x:v>9</x:v>
      </x:c>
      <x:c r="AS67" t="n">
        <x:f>Tabelle2[[#This Row],[40-45 Jahre Weiblich]]+Tabelle2[[#This Row],[40-45 jahre Männlich]]</x:f>
        <x:v>13</x:v>
      </x:c>
      <x:c r="AT67" t="n">
        <x:f>Tabelle2[[#This Row],[45-50 Jahre Weiblich]]+Tabelle2[[#This Row],[45-50 jahre Männlich]]</x:f>
        <x:v>27</x:v>
      </x:c>
      <x:c r="AU67" t="n">
        <x:f>Tabelle2[[#This Row],[50-55 Jahre Weiblich]]+Tabelle2[[#This Row],[50-55 jahre Männlich]]</x:f>
        <x:v>19</x:v>
      </x:c>
      <x:c r="AV67" t="n">
        <x:f>Tabelle2[[#This Row],[55-60 Jahre Weiblich]]+Tabelle2[[#This Row],[55-60 jahre Männlich]]</x:f>
        <x:v>32</x:v>
      </x:c>
      <x:c r="AW67" t="n">
        <x:f>Tabelle2[[#This Row],[60-65 Jahre Weiblich]]+Tabelle2[[#This Row],[60-65 jahre Männlich]]</x:f>
        <x:v>33</x:v>
      </x:c>
      <x:c r="AX67" t="n">
        <x:f>Tabelle2[[#This Row],[65-70 Jahre Weiblich]]+Tabelle2[[#This Row],[65-70 Jahre  Männlich]]</x:f>
        <x:v>15</x:v>
      </x:c>
      <x:c r="AY67" t="n">
        <x:f>Tabelle2[[#This Row],[70-75Jahre Weiblich]]+Tabelle2[[#This Row],[70-75 jahre Männlch]]</x:f>
        <x:v>23</x:v>
      </x:c>
      <x:c r="AZ67" t="e">
        <x:f>Tabelle2[[#This Row],[75-80 Jahre Weiblich]]+Tabelle2[[#This Row],[75-80 jahre Männlich]]</x:f>
      </x:c>
      <x:c r="BA67" t="n">
        <x:f>Tabelle2[[#This Row],[80-85 Jahre Weiblich]]+Tabelle2[[#This Row],[80-85 jahre Männlich]]</x:f>
        <x:v>45</x:v>
      </x:c>
      <x:c r="BB67" t="n">
        <x:f>Tabelle2[[#This Row],[85 und mehr Weiblich]]+Tabelle2[[#This Row],[85 und mehr]]</x:f>
        <x:v>43</x:v>
      </x:c>
    </x:row>
    <x:row r="68">
      <x:c r="A68" s="1" t="s">
        <x:v>54</x:v>
      </x:c>
      <x:c r="B68" s="2" t="s">
        <x:v>105</x:v>
      </x:c>
      <x:c r="C68" s="3">
        <x:v>125</x:v>
      </x:c>
      <x:c r="D68" s="3">
        <x:v>71</x:v>
      </x:c>
      <x:c r="E68" s="3">
        <x:v>47</x:v>
      </x:c>
      <x:c r="F68" s="3">
        <x:v>102</x:v>
      </x:c>
      <x:c r="G68" s="3">
        <x:v>150</x:v>
      </x:c>
      <x:c r="H68" s="3">
        <x:v>199</x:v>
      </x:c>
      <x:c r="I68" s="3">
        <x:v>331</x:v>
      </x:c>
      <x:c r="J68" s="3">
        <x:v>448</x:v>
      </x:c>
      <x:c r="K68" s="3">
        <x:v>811</x:v>
      </x:c>
      <x:c r="L68" s="3">
        <x:v>1480</x:v>
      </x:c>
      <x:c r="M68" s="3">
        <x:v>1950</x:v>
      </x:c>
      <x:c r="N68" s="3">
        <x:v>2148</x:v>
      </x:c>
      <x:c r="O68" s="3">
        <x:v>2219</x:v>
      </x:c>
      <x:c r="P68" s="3">
        <x:v>1842</x:v>
      </x:c>
      <x:c r="Q68" s="3">
        <x:v>2399</x:v>
      </x:c>
      <x:c r="R68" s="3">
        <x:v>2029</x:v>
      </x:c>
      <x:c r="S68" s="3">
        <x:v>2517</x:v>
      </x:c>
      <x:c r="T68" s="3">
        <x:v>0</x:v>
      </x:c>
      <x:c r="U68" s="3">
        <x:v>107</x:v>
      </x:c>
      <x:c r="V68" s="3">
        <x:v>46</x:v>
      </x:c>
      <x:c r="W68" s="3">
        <x:v>44</x:v>
      </x:c>
      <x:c r="X68" s="3">
        <x:v>32</x:v>
      </x:c>
      <x:c r="Y68" s="3">
        <x:v>62</x:v>
      </x:c>
      <x:c r="Z68" s="3">
        <x:v>88</x:v>
      </x:c>
      <x:c r="AA68" s="3">
        <x:v>118</x:v>
      </x:c>
      <x:c r="AB68" s="3">
        <x:v>164</x:v>
      </x:c>
      <x:c r="AC68" s="3">
        <x:v>277</x:v>
      </x:c>
      <x:c r="AD68" s="3">
        <x:v>465</x:v>
      </x:c>
      <x:c r="AE68" s="3">
        <x:v>647</x:v>
      </x:c>
      <x:c r="AF68" s="3">
        <x:v>838</x:v>
      </x:c>
      <x:c r="AG68" s="3">
        <x:v>1028</x:v>
      </x:c>
      <x:c r="AH68" s="3">
        <x:v>1078</x:v>
      </x:c>
      <x:c r="AJ68" s="3">
        <x:v>1931</x:v>
      </x:c>
      <x:c r="AK68" s="3">
        <x:v>5127</x:v>
      </x:c>
      <x:c r="AL68" t="n">
        <x:f>Tabelle2[[#This Row],[1 jahre Weiblich]]+Tabelle2[[#This Row],[unter 1 Jahr Männlich]]</x:f>
        <x:v>232</x:v>
      </x:c>
      <x:c r="AM68" t="n">
        <x:f>Tabelle2[[#This Row],[1-15 Jahre Weiblich]]+Tabelle2[[#This Row],[1-15 jahre Mänlich]]</x:f>
        <x:v>117</x:v>
      </x:c>
      <x:c r="AN68" t="n">
        <x:f>Tabelle2[[#This Row],[15-20 Jahre Weiblich]]+Tabelle2[[#This Row],[15-20 jahre Männlich]]</x:f>
        <x:v>91</x:v>
      </x:c>
      <x:c r="AO68" t="n">
        <x:f>Tabelle2[[#This Row],[20-25 jahre weiblich]]+Tabelle2[[#This Row],[20-25 jahre Männlich]]</x:f>
        <x:v>134</x:v>
      </x:c>
      <x:c r="AP68" t="n">
        <x:f>Tabelle2[[#This Row],[25-30 Jahre Weiblich]]+Tabelle2[[#This Row],[25-30 jahre Männlich]]</x:f>
        <x:v>212</x:v>
      </x:c>
      <x:c r="AQ68" t="n">
        <x:f>Tabelle2[[#This Row],[30-35 Jahre Weiblich]]+Tabelle2[[#This Row],[30-35 jahre Männlich]]</x:f>
        <x:v>287</x:v>
      </x:c>
      <x:c r="AR68" t="n">
        <x:f>Tabelle2[[#This Row],[35-40 Jahre Weiblich]]+Tabelle2[[#This Row],[35-40 jahre  Männlich]]</x:f>
        <x:v>449</x:v>
      </x:c>
      <x:c r="AS68" t="n">
        <x:f>Tabelle2[[#This Row],[40-45 Jahre Weiblich]]+Tabelle2[[#This Row],[40-45 jahre Männlich]]</x:f>
        <x:v>612</x:v>
      </x:c>
      <x:c r="AT68" t="n">
        <x:f>Tabelle2[[#This Row],[45-50 Jahre Weiblich]]+Tabelle2[[#This Row],[45-50 jahre Männlich]]</x:f>
        <x:v>1088</x:v>
      </x:c>
      <x:c r="AU68" t="n">
        <x:f>Tabelle2[[#This Row],[50-55 Jahre Weiblich]]+Tabelle2[[#This Row],[50-55 jahre Männlich]]</x:f>
        <x:v>1945</x:v>
      </x:c>
      <x:c r="AV68" t="n">
        <x:f>Tabelle2[[#This Row],[55-60 Jahre Weiblich]]+Tabelle2[[#This Row],[55-60 jahre Männlich]]</x:f>
        <x:v>2597</x:v>
      </x:c>
      <x:c r="AW68" t="n">
        <x:f>Tabelle2[[#This Row],[60-65 Jahre Weiblich]]+Tabelle2[[#This Row],[60-65 jahre Männlich]]</x:f>
        <x:v>2986</x:v>
      </x:c>
      <x:c r="AX68" t="n">
        <x:f>Tabelle2[[#This Row],[65-70 Jahre Weiblich]]+Tabelle2[[#This Row],[65-70 Jahre  Männlich]]</x:f>
        <x:v>3247</x:v>
      </x:c>
      <x:c r="AY68" t="n">
        <x:f>Tabelle2[[#This Row],[70-75Jahre Weiblich]]+Tabelle2[[#This Row],[70-75 jahre Männlch]]</x:f>
        <x:v>2920</x:v>
      </x:c>
      <x:c r="AZ68" t="e">
        <x:f>Tabelle2[[#This Row],[75-80 Jahre Weiblich]]+Tabelle2[[#This Row],[75-80 jahre Männlich]]</x:f>
      </x:c>
      <x:c r="BA68" t="n">
        <x:f>Tabelle2[[#This Row],[80-85 Jahre Weiblich]]+Tabelle2[[#This Row],[80-85 jahre Männlich]]</x:f>
        <x:v>3960</x:v>
      </x:c>
      <x:c r="BB68" t="n">
        <x:f>Tabelle2[[#This Row],[85 und mehr Weiblich]]+Tabelle2[[#This Row],[85 und mehr]]</x:f>
        <x:v>7644</x:v>
      </x:c>
    </x:row>
    <x:row r="69">
      <x:c r="A69" s="1" t="s">
        <x:v>54</x:v>
      </x:c>
      <x:c r="B69" s="2" t="s">
        <x:v>106</x:v>
      </x:c>
      <x:c r="C69" s="3">
        <x:v>73</x:v>
      </x:c>
      <x:c r="D69" s="3">
        <x:v>0</x:v>
      </x:c>
      <x:c r="E69" s="3">
        <x:v>0</x:v>
      </x:c>
      <x:c r="F69" s="3">
        <x:v>0</x:v>
      </x:c>
      <x:c r="G69" s="3">
        <x:v>0</x:v>
      </x:c>
      <x:c r="H69" s="3">
        <x:v>0</x:v>
      </x:c>
      <x:c r="I69" s="3">
        <x:v>0</x:v>
      </x:c>
      <x:c r="J69" s="3">
        <x:v>0</x:v>
      </x:c>
      <x:c r="K69" s="3">
        <x:v>0</x:v>
      </x:c>
      <x:c r="L69" s="3">
        <x:v>0</x:v>
      </x:c>
      <x:c r="M69" s="3">
        <x:v>0</x:v>
      </x:c>
      <x:c r="N69" s="3">
        <x:v>0</x:v>
      </x:c>
      <x:c r="O69" s="3">
        <x:v>0</x:v>
      </x:c>
      <x:c r="P69" s="3">
        <x:v>0</x:v>
      </x:c>
      <x:c r="Q69" s="3">
        <x:v>0</x:v>
      </x:c>
      <x:c r="R69" s="3">
        <x:v>0</x:v>
      </x:c>
      <x:c r="S69" s="3">
        <x:v>0</x:v>
      </x:c>
      <x:c r="T69" s="3">
        <x:v>0</x:v>
      </x:c>
      <x:c r="U69" s="3">
        <x:v>46</x:v>
      </x:c>
      <x:c r="V69" s="3">
        <x:v>0</x:v>
      </x:c>
      <x:c r="W69" s="3">
        <x:v>0</x:v>
      </x:c>
      <x:c r="X69" s="3">
        <x:v>0</x:v>
      </x:c>
      <x:c r="Y69" s="3">
        <x:v>0</x:v>
      </x:c>
      <x:c r="Z69" s="3">
        <x:v>0</x:v>
      </x:c>
      <x:c r="AA69" s="3">
        <x:v>0</x:v>
      </x:c>
      <x:c r="AB69" s="3">
        <x:v>0</x:v>
      </x:c>
      <x:c r="AC69" s="3">
        <x:v>0</x:v>
      </x:c>
      <x:c r="AD69" s="3">
        <x:v>0</x:v>
      </x:c>
      <x:c r="AE69" s="3">
        <x:v>0</x:v>
      </x:c>
      <x:c r="AF69" s="3">
        <x:v>0</x:v>
      </x:c>
      <x:c r="AG69" s="3">
        <x:v>0</x:v>
      </x:c>
      <x:c r="AH69" s="3">
        <x:v>0</x:v>
      </x:c>
      <x:c r="AJ69" s="3">
        <x:v>0</x:v>
      </x:c>
      <x:c r="AK69" s="3">
        <x:v>0</x:v>
      </x:c>
      <x:c r="AL69" t="n">
        <x:f>Tabelle2[[#This Row],[1 jahre Weiblich]]+Tabelle2[[#This Row],[unter 1 Jahr Männlich]]</x:f>
        <x:v>119</x:v>
      </x:c>
      <x:c r="AM69" t="n">
        <x:f>Tabelle2[[#This Row],[1-15 Jahre Weiblich]]+Tabelle2[[#This Row],[1-15 jahre Mänlich]]</x:f>
        <x:v>0</x:v>
      </x:c>
      <x:c r="AN69" t="n">
        <x:f>Tabelle2[[#This Row],[15-20 Jahre Weiblich]]+Tabelle2[[#This Row],[15-20 jahre Männlich]]</x:f>
        <x:v>0</x:v>
      </x:c>
      <x:c r="AO69" t="n">
        <x:f>Tabelle2[[#This Row],[20-25 jahre weiblich]]+Tabelle2[[#This Row],[20-25 jahre Männlich]]</x:f>
        <x:v>0</x:v>
      </x:c>
      <x:c r="AP69" t="n">
        <x:f>Tabelle2[[#This Row],[25-30 Jahre Weiblich]]+Tabelle2[[#This Row],[25-30 jahre Männlich]]</x:f>
        <x:v>0</x:v>
      </x:c>
      <x:c r="AQ69" t="n">
        <x:f>Tabelle2[[#This Row],[30-35 Jahre Weiblich]]+Tabelle2[[#This Row],[30-35 jahre Männlich]]</x:f>
        <x:v>0</x:v>
      </x:c>
      <x:c r="AR69" t="n">
        <x:f>Tabelle2[[#This Row],[35-40 Jahre Weiblich]]+Tabelle2[[#This Row],[35-40 jahre  Männlich]]</x:f>
        <x:v>0</x:v>
      </x:c>
      <x:c r="AS69" t="n">
        <x:f>Tabelle2[[#This Row],[40-45 Jahre Weiblich]]+Tabelle2[[#This Row],[40-45 jahre Männlich]]</x:f>
        <x:v>0</x:v>
      </x:c>
      <x:c r="AT69" t="n">
        <x:f>Tabelle2[[#This Row],[45-50 Jahre Weiblich]]+Tabelle2[[#This Row],[45-50 jahre Männlich]]</x:f>
        <x:v>0</x:v>
      </x:c>
      <x:c r="AU69" t="n">
        <x:f>Tabelle2[[#This Row],[50-55 Jahre Weiblich]]+Tabelle2[[#This Row],[50-55 jahre Männlich]]</x:f>
        <x:v>0</x:v>
      </x:c>
      <x:c r="AV69" t="n">
        <x:f>Tabelle2[[#This Row],[55-60 Jahre Weiblich]]+Tabelle2[[#This Row],[55-60 jahre Männlich]]</x:f>
        <x:v>0</x:v>
      </x:c>
      <x:c r="AW69" t="n">
        <x:f>Tabelle2[[#This Row],[60-65 Jahre Weiblich]]+Tabelle2[[#This Row],[60-65 jahre Männlich]]</x:f>
        <x:v>0</x:v>
      </x:c>
      <x:c r="AX69" t="n">
        <x:f>Tabelle2[[#This Row],[65-70 Jahre Weiblich]]+Tabelle2[[#This Row],[65-70 Jahre  Männlich]]</x:f>
        <x:v>0</x:v>
      </x:c>
      <x:c r="AY69" t="n">
        <x:f>Tabelle2[[#This Row],[70-75Jahre Weiblich]]+Tabelle2[[#This Row],[70-75 jahre Männlch]]</x:f>
        <x:v>0</x:v>
      </x:c>
      <x:c r="AZ69" t="e">
        <x:f>Tabelle2[[#This Row],[75-80 Jahre Weiblich]]+Tabelle2[[#This Row],[75-80 jahre Männlich]]</x:f>
      </x:c>
      <x:c r="BA69" t="n">
        <x:f>Tabelle2[[#This Row],[80-85 Jahre Weiblich]]+Tabelle2[[#This Row],[80-85 jahre Männlich]]</x:f>
        <x:v>0</x:v>
      </x:c>
      <x:c r="BB69" t="n">
        <x:f>Tabelle2[[#This Row],[85 und mehr Weiblich]]+Tabelle2[[#This Row],[85 und mehr]]</x:f>
        <x:v>0</x:v>
      </x:c>
    </x:row>
    <x:row r="70">
      <x:c r="A70" s="1" t="s">
        <x:v>54</x:v>
      </x:c>
      <x:c r="B70" s="2" t="s">
        <x:v>107</x:v>
      </x:c>
      <x:c r="C70" s="3">
        <x:v>49</x:v>
      </x:c>
      <x:c r="D70" s="3">
        <x:v>69</x:v>
      </x:c>
      <x:c r="E70" s="3">
        <x:v>45</x:v>
      </x:c>
      <x:c r="F70" s="3">
        <x:v>101</x:v>
      </x:c>
      <x:c r="G70" s="3">
        <x:v>147</x:v>
      </x:c>
      <x:c r="H70" s="3">
        <x:v>196</x:v>
      </x:c>
      <x:c r="I70" s="3">
        <x:v>326</x:v>
      </x:c>
      <x:c r="J70" s="3">
        <x:v>435</x:v>
      </x:c>
      <x:c r="K70" s="3">
        <x:v>798</x:v>
      </x:c>
      <x:c r="L70" s="3">
        <x:v>1442</x:v>
      </x:c>
      <x:c r="M70" s="3">
        <x:v>1895</x:v>
      </x:c>
      <x:c r="N70" s="3">
        <x:v>2091</x:v>
      </x:c>
      <x:c r="O70" s="3">
        <x:v>2130</x:v>
      </x:c>
      <x:c r="P70" s="3">
        <x:v>1760</x:v>
      </x:c>
      <x:c r="Q70" s="3">
        <x:v>2257</x:v>
      </x:c>
      <x:c r="R70" s="3">
        <x:v>1772</x:v>
      </x:c>
      <x:c r="S70" s="3">
        <x:v>1757</x:v>
      </x:c>
      <x:c r="T70" s="3">
        <x:v>0</x:v>
      </x:c>
      <x:c r="U70" s="3">
        <x:v>58</x:v>
      </x:c>
      <x:c r="V70" s="3">
        <x:v>43</x:v>
      </x:c>
      <x:c r="W70" s="3">
        <x:v>43</x:v>
      </x:c>
      <x:c r="X70" s="3">
        <x:v>30</x:v>
      </x:c>
      <x:c r="Y70" s="3">
        <x:v>60</x:v>
      </x:c>
      <x:c r="Z70" s="3">
        <x:v>86</x:v>
      </x:c>
      <x:c r="AA70" s="3">
        <x:v>114</x:v>
      </x:c>
      <x:c r="AB70" s="3">
        <x:v>161</x:v>
      </x:c>
      <x:c r="AC70" s="3">
        <x:v>271</x:v>
      </x:c>
      <x:c r="AD70" s="3">
        <x:v>454</x:v>
      </x:c>
      <x:c r="AE70" s="3">
        <x:v>623</x:v>
      </x:c>
      <x:c r="AF70" s="3">
        <x:v>817</x:v>
      </x:c>
      <x:c r="AG70" s="3">
        <x:v>974</x:v>
      </x:c>
      <x:c r="AH70" s="3">
        <x:v>1023</x:v>
      </x:c>
      <x:c r="AJ70" s="3">
        <x:v>1628</x:v>
      </x:c>
      <x:c r="AK70" s="3">
        <x:v>2815</x:v>
      </x:c>
      <x:c r="AL70" t="n">
        <x:f>Tabelle2[[#This Row],[1 jahre Weiblich]]+Tabelle2[[#This Row],[unter 1 Jahr Männlich]]</x:f>
        <x:v>107</x:v>
      </x:c>
      <x:c r="AM70" t="n">
        <x:f>Tabelle2[[#This Row],[1-15 Jahre Weiblich]]+Tabelle2[[#This Row],[1-15 jahre Mänlich]]</x:f>
        <x:v>112</x:v>
      </x:c>
      <x:c r="AN70" t="n">
        <x:f>Tabelle2[[#This Row],[15-20 Jahre Weiblich]]+Tabelle2[[#This Row],[15-20 jahre Männlich]]</x:f>
        <x:v>88</x:v>
      </x:c>
      <x:c r="AO70" t="n">
        <x:f>Tabelle2[[#This Row],[20-25 jahre weiblich]]+Tabelle2[[#This Row],[20-25 jahre Männlich]]</x:f>
        <x:v>131</x:v>
      </x:c>
      <x:c r="AP70" t="n">
        <x:f>Tabelle2[[#This Row],[25-30 Jahre Weiblich]]+Tabelle2[[#This Row],[25-30 jahre Männlich]]</x:f>
        <x:v>207</x:v>
      </x:c>
      <x:c r="AQ70" t="n">
        <x:f>Tabelle2[[#This Row],[30-35 Jahre Weiblich]]+Tabelle2[[#This Row],[30-35 jahre Männlich]]</x:f>
        <x:v>282</x:v>
      </x:c>
      <x:c r="AR70" t="n">
        <x:f>Tabelle2[[#This Row],[35-40 Jahre Weiblich]]+Tabelle2[[#This Row],[35-40 jahre  Männlich]]</x:f>
        <x:v>440</x:v>
      </x:c>
      <x:c r="AS70" t="n">
        <x:f>Tabelle2[[#This Row],[40-45 Jahre Weiblich]]+Tabelle2[[#This Row],[40-45 jahre Männlich]]</x:f>
        <x:v>596</x:v>
      </x:c>
      <x:c r="AT70" t="n">
        <x:f>Tabelle2[[#This Row],[45-50 Jahre Weiblich]]+Tabelle2[[#This Row],[45-50 jahre Männlich]]</x:f>
        <x:v>1069</x:v>
      </x:c>
      <x:c r="AU70" t="n">
        <x:f>Tabelle2[[#This Row],[50-55 Jahre Weiblich]]+Tabelle2[[#This Row],[50-55 jahre Männlich]]</x:f>
        <x:v>1896</x:v>
      </x:c>
      <x:c r="AV70" t="n">
        <x:f>Tabelle2[[#This Row],[55-60 Jahre Weiblich]]+Tabelle2[[#This Row],[55-60 jahre Männlich]]</x:f>
        <x:v>2518</x:v>
      </x:c>
      <x:c r="AW70" t="n">
        <x:f>Tabelle2[[#This Row],[60-65 Jahre Weiblich]]+Tabelle2[[#This Row],[60-65 jahre Männlich]]</x:f>
        <x:v>2908</x:v>
      </x:c>
      <x:c r="AX70" t="n">
        <x:f>Tabelle2[[#This Row],[65-70 Jahre Weiblich]]+Tabelle2[[#This Row],[65-70 Jahre  Männlich]]</x:f>
        <x:v>3104</x:v>
      </x:c>
      <x:c r="AY70" t="n">
        <x:f>Tabelle2[[#This Row],[70-75Jahre Weiblich]]+Tabelle2[[#This Row],[70-75 jahre Männlch]]</x:f>
        <x:v>2783</x:v>
      </x:c>
      <x:c r="AZ70" t="e">
        <x:f>Tabelle2[[#This Row],[75-80 Jahre Weiblich]]+Tabelle2[[#This Row],[75-80 jahre Männlich]]</x:f>
      </x:c>
      <x:c r="BA70" t="n">
        <x:f>Tabelle2[[#This Row],[80-85 Jahre Weiblich]]+Tabelle2[[#This Row],[80-85 jahre Männlich]]</x:f>
        <x:v>3400</x:v>
      </x:c>
      <x:c r="BB70" t="n">
        <x:f>Tabelle2[[#This Row],[85 und mehr Weiblich]]+Tabelle2[[#This Row],[85 und mehr]]</x:f>
        <x:v>4572</x:v>
      </x:c>
    </x:row>
    <x:row r="71">
      <x:c r="A71" s="1" t="s">
        <x:v>54</x:v>
      </x:c>
      <x:c r="B71" s="2" t="str">
        <x:v>Äußere Ursachen</x:v>
      </x:c>
      <x:c r="C71" s="3">
        <x:v>26</x:v>
      </x:c>
      <x:c r="D71" s="3">
        <x:v>127</x:v>
      </x:c>
      <x:c r="E71" s="3">
        <x:v>371</x:v>
      </x:c>
      <x:c r="F71" s="3">
        <x:v>642</x:v>
      </x:c>
      <x:c r="G71" s="3">
        <x:v>657</x:v>
      </x:c>
      <x:c r="H71" s="3">
        <x:v>733</x:v>
      </x:c>
      <x:c r="I71" s="3">
        <x:v>751</x:v>
      </x:c>
      <x:c r="J71" s="3">
        <x:v>799</x:v>
      </x:c>
      <x:c r="K71" s="3">
        <x:v>1090</x:v>
      </x:c>
      <x:c r="L71" s="3">
        <x:v>1568</x:v>
      </x:c>
      <x:c r="M71" s="3">
        <x:v>1705</x:v>
      </x:c>
      <x:c r="N71" s="3">
        <x:v>1547</x:v>
      </x:c>
      <x:c r="O71" s="3">
        <x:v>1599</x:v>
      </x:c>
      <x:c r="P71" s="3">
        <x:v>1552</x:v>
      </x:c>
      <x:c r="Q71" s="3">
        <x:v>2937</x:v>
      </x:c>
      <x:c r="R71" s="3">
        <x:v>3288</x:v>
      </x:c>
      <x:c r="S71" s="3">
        <x:v>5117</x:v>
      </x:c>
      <x:c r="T71" s="3">
        <x:v>0</x:v>
      </x:c>
      <x:c r="U71" s="3">
        <x:v>17</x:v>
      </x:c>
      <x:c r="V71" s="3">
        <x:v>95</x:v>
      </x:c>
      <x:c r="W71" s="3">
        <x:v>127</x:v>
      </x:c>
      <x:c r="X71" s="3">
        <x:v>151</x:v>
      </x:c>
      <x:c r="Y71" s="3">
        <x:v>166</x:v>
      </x:c>
      <x:c r="Z71" s="3">
        <x:v>208</x:v>
      </x:c>
      <x:c r="AA71" s="3">
        <x:v>201</x:v>
      </x:c>
      <x:c r="AB71" s="3">
        <x:v>224</x:v>
      </x:c>
      <x:c r="AC71" s="3">
        <x:v>307</x:v>
      </x:c>
      <x:c r="AD71" s="3">
        <x:v>531</x:v>
      </x:c>
      <x:c r="AE71" s="3">
        <x:v>590</x:v>
      </x:c>
      <x:c r="AF71" s="3">
        <x:v>592</x:v>
      </x:c>
      <x:c r="AG71" s="3">
        <x:v>671</x:v>
      </x:c>
      <x:c r="AH71" s="3">
        <x:v>867</x:v>
      </x:c>
      <x:c r="AJ71" s="3">
        <x:v>2802</x:v>
      </x:c>
      <x:c r="AK71" s="3">
        <x:v>7664</x:v>
      </x:c>
      <x:c r="AL71" t="n">
        <x:f>Tabelle2[[#This Row],[1 jahre Weiblich]]+Tabelle2[[#This Row],[unter 1 Jahr Männlich]]</x:f>
        <x:v>43</x:v>
      </x:c>
      <x:c r="AM71" t="n">
        <x:f>Tabelle2[[#This Row],[1-15 Jahre Weiblich]]+Tabelle2[[#This Row],[1-15 jahre Mänlich]]</x:f>
        <x:v>222</x:v>
      </x:c>
      <x:c r="AN71" t="n">
        <x:f>Tabelle2[[#This Row],[15-20 Jahre Weiblich]]+Tabelle2[[#This Row],[15-20 jahre Männlich]]</x:f>
        <x:v>498</x:v>
      </x:c>
      <x:c r="AO71" t="n">
        <x:f>Tabelle2[[#This Row],[20-25 jahre weiblich]]+Tabelle2[[#This Row],[20-25 jahre Männlich]]</x:f>
        <x:v>793</x:v>
      </x:c>
      <x:c r="AP71" t="n">
        <x:f>Tabelle2[[#This Row],[25-30 Jahre Weiblich]]+Tabelle2[[#This Row],[25-30 jahre Männlich]]</x:f>
        <x:v>823</x:v>
      </x:c>
      <x:c r="AQ71" t="n">
        <x:f>Tabelle2[[#This Row],[30-35 Jahre Weiblich]]+Tabelle2[[#This Row],[30-35 jahre Männlich]]</x:f>
        <x:v>941</x:v>
      </x:c>
      <x:c r="AR71" t="n">
        <x:f>Tabelle2[[#This Row],[35-40 Jahre Weiblich]]+Tabelle2[[#This Row],[35-40 jahre  Männlich]]</x:f>
        <x:v>952</x:v>
      </x:c>
      <x:c r="AS71" t="n">
        <x:f>Tabelle2[[#This Row],[40-45 Jahre Weiblich]]+Tabelle2[[#This Row],[40-45 jahre Männlich]]</x:f>
        <x:v>1023</x:v>
      </x:c>
      <x:c r="AT71" t="n">
        <x:f>Tabelle2[[#This Row],[45-50 Jahre Weiblich]]+Tabelle2[[#This Row],[45-50 jahre Männlich]]</x:f>
        <x:v>1397</x:v>
      </x:c>
      <x:c r="AU71" t="n">
        <x:f>Tabelle2[[#This Row],[50-55 Jahre Weiblich]]+Tabelle2[[#This Row],[50-55 jahre Männlich]]</x:f>
        <x:v>2099</x:v>
      </x:c>
      <x:c r="AV71" t="n">
        <x:f>Tabelle2[[#This Row],[55-60 Jahre Weiblich]]+Tabelle2[[#This Row],[55-60 jahre Männlich]]</x:f>
        <x:v>2295</x:v>
      </x:c>
      <x:c r="AW71" t="n">
        <x:f>Tabelle2[[#This Row],[60-65 Jahre Weiblich]]+Tabelle2[[#This Row],[60-65 jahre Männlich]]</x:f>
        <x:v>2139</x:v>
      </x:c>
      <x:c r="AX71" t="n">
        <x:f>Tabelle2[[#This Row],[65-70 Jahre Weiblich]]+Tabelle2[[#This Row],[65-70 Jahre  Männlich]]</x:f>
        <x:v>2270</x:v>
      </x:c>
      <x:c r="AY71" t="n">
        <x:f>Tabelle2[[#This Row],[70-75Jahre Weiblich]]+Tabelle2[[#This Row],[70-75 jahre Männlch]]</x:f>
        <x:v>2419</x:v>
      </x:c>
      <x:c r="AZ71" t="e">
        <x:f>Tabelle2[[#This Row],[75-80 Jahre Weiblich]]+Tabelle2[[#This Row],[75-80 jahre Männlich]]</x:f>
      </x:c>
      <x:c r="BA71" t="n">
        <x:f>Tabelle2[[#This Row],[80-85 Jahre Weiblich]]+Tabelle2[[#This Row],[80-85 jahre Männlich]]</x:f>
        <x:v>6090</x:v>
      </x:c>
      <x:c r="BB71" t="n">
        <x:f>Tabelle2[[#This Row],[85 und mehr Weiblich]]+Tabelle2[[#This Row],[85 und mehr]]</x:f>
        <x:v>12781</x:v>
      </x:c>
    </x:row>
    <x:row r="72">
      <x:c r="A72" s="1" t="s">
        <x:v>54</x:v>
      </x:c>
      <x:c r="B72" s="2" t="str">
        <x:v>Unfälle</x:v>
      </x:c>
      <x:c r="C72" s="3">
        <x:v>12</x:v>
      </x:c>
      <x:c r="D72" s="3">
        <x:v>112</x:v>
      </x:c>
      <x:c r="E72" s="3">
        <x:v>217</x:v>
      </x:c>
      <x:c r="F72" s="3">
        <x:v>320</x:v>
      </x:c>
      <x:c r="G72" s="3">
        <x:v>306</x:v>
      </x:c>
      <x:c r="H72" s="3">
        <x:v>330</x:v>
      </x:c>
      <x:c r="I72" s="3">
        <x:v>326</x:v>
      </x:c>
      <x:c r="J72" s="3">
        <x:v>370</x:v>
      </x:c>
      <x:c r="K72" s="3">
        <x:v>489</x:v>
      </x:c>
      <x:c r="L72" s="3">
        <x:v>699</x:v>
      </x:c>
      <x:c r="M72" s="3">
        <x:v>840</x:v>
      </x:c>
      <x:c r="N72" s="3">
        <x:v>890</x:v>
      </x:c>
      <x:c r="O72" s="3">
        <x:v>989</x:v>
      </x:c>
      <x:c r="P72" s="3">
        <x:v>1040</x:v>
      </x:c>
      <x:c r="Q72" s="3">
        <x:v>2108</x:v>
      </x:c>
      <x:c r="R72" s="3">
        <x:v>2620</x:v>
      </x:c>
      <x:c r="S72" s="3">
        <x:v>4339</x:v>
      </x:c>
      <x:c r="T72" s="3">
        <x:v>0</x:v>
      </x:c>
      <x:c r="U72" s="3">
        <x:v>13</x:v>
      </x:c>
      <x:c r="V72" s="3">
        <x:v>73</x:v>
      </x:c>
      <x:c r="W72" s="3">
        <x:v>64</x:v>
      </x:c>
      <x:c r="X72" s="3">
        <x:v>71</x:v>
      </x:c>
      <x:c r="Y72" s="3">
        <x:v>75</x:v>
      </x:c>
      <x:c r="Z72" s="3">
        <x:v>85</x:v>
      </x:c>
      <x:c r="AA72" s="3">
        <x:v>88</x:v>
      </x:c>
      <x:c r="AB72" s="3">
        <x:v>85</x:v>
      </x:c>
      <x:c r="AC72" s="3">
        <x:v>116</x:v>
      </x:c>
      <x:c r="AD72" s="3">
        <x:v>214</x:v>
      </x:c>
      <x:c r="AE72" s="3">
        <x:v>289</x:v>
      </x:c>
      <x:c r="AF72" s="3">
        <x:v>377</x:v>
      </x:c>
      <x:c r="AG72" s="3">
        <x:v>460</x:v>
      </x:c>
      <x:c r="AH72" s="3">
        <x:v>674</x:v>
      </x:c>
      <x:c r="AJ72" s="3">
        <x:v>2496</x:v>
      </x:c>
      <x:c r="AK72" s="3">
        <x:v>7154</x:v>
      </x:c>
      <x:c r="AL72" t="n">
        <x:f>Tabelle2[[#This Row],[1 jahre Weiblich]]+Tabelle2[[#This Row],[unter 1 Jahr Männlich]]</x:f>
        <x:v>25</x:v>
      </x:c>
      <x:c r="AM72" t="n">
        <x:f>Tabelle2[[#This Row],[1-15 Jahre Weiblich]]+Tabelle2[[#This Row],[1-15 jahre Mänlich]]</x:f>
        <x:v>185</x:v>
      </x:c>
      <x:c r="AN72" t="n">
        <x:f>Tabelle2[[#This Row],[15-20 Jahre Weiblich]]+Tabelle2[[#This Row],[15-20 jahre Männlich]]</x:f>
        <x:v>281</x:v>
      </x:c>
      <x:c r="AO72" t="n">
        <x:f>Tabelle2[[#This Row],[20-25 jahre weiblich]]+Tabelle2[[#This Row],[20-25 jahre Männlich]]</x:f>
        <x:v>391</x:v>
      </x:c>
      <x:c r="AP72" t="n">
        <x:f>Tabelle2[[#This Row],[25-30 Jahre Weiblich]]+Tabelle2[[#This Row],[25-30 jahre Männlich]]</x:f>
        <x:v>381</x:v>
      </x:c>
      <x:c r="AQ72" t="n">
        <x:f>Tabelle2[[#This Row],[30-35 Jahre Weiblich]]+Tabelle2[[#This Row],[30-35 jahre Männlich]]</x:f>
        <x:v>415</x:v>
      </x:c>
      <x:c r="AR72" t="n">
        <x:f>Tabelle2[[#This Row],[35-40 Jahre Weiblich]]+Tabelle2[[#This Row],[35-40 jahre  Männlich]]</x:f>
        <x:v>414</x:v>
      </x:c>
      <x:c r="AS72" t="n">
        <x:f>Tabelle2[[#This Row],[40-45 Jahre Weiblich]]+Tabelle2[[#This Row],[40-45 jahre Männlich]]</x:f>
        <x:v>455</x:v>
      </x:c>
      <x:c r="AT72" t="n">
        <x:f>Tabelle2[[#This Row],[45-50 Jahre Weiblich]]+Tabelle2[[#This Row],[45-50 jahre Männlich]]</x:f>
        <x:v>605</x:v>
      </x:c>
      <x:c r="AU72" t="n">
        <x:f>Tabelle2[[#This Row],[50-55 Jahre Weiblich]]+Tabelle2[[#This Row],[50-55 jahre Männlich]]</x:f>
        <x:v>913</x:v>
      </x:c>
      <x:c r="AV72" t="n">
        <x:f>Tabelle2[[#This Row],[55-60 Jahre Weiblich]]+Tabelle2[[#This Row],[55-60 jahre Männlich]]</x:f>
        <x:v>1129</x:v>
      </x:c>
      <x:c r="AW72" t="n">
        <x:f>Tabelle2[[#This Row],[60-65 Jahre Weiblich]]+Tabelle2[[#This Row],[60-65 jahre Männlich]]</x:f>
        <x:v>1267</x:v>
      </x:c>
      <x:c r="AX72" t="n">
        <x:f>Tabelle2[[#This Row],[65-70 Jahre Weiblich]]+Tabelle2[[#This Row],[65-70 Jahre  Männlich]]</x:f>
        <x:v>1449</x:v>
      </x:c>
      <x:c r="AY72" t="n">
        <x:f>Tabelle2[[#This Row],[70-75Jahre Weiblich]]+Tabelle2[[#This Row],[70-75 jahre Männlch]]</x:f>
        <x:v>1714</x:v>
      </x:c>
      <x:c r="AZ72" t="e">
        <x:f>Tabelle2[[#This Row],[75-80 Jahre Weiblich]]+Tabelle2[[#This Row],[75-80 jahre Männlich]]</x:f>
      </x:c>
      <x:c r="BA72" t="n">
        <x:f>Tabelle2[[#This Row],[80-85 Jahre Weiblich]]+Tabelle2[[#This Row],[80-85 jahre Männlich]]</x:f>
        <x:v>5116</x:v>
      </x:c>
      <x:c r="BB72" t="n">
        <x:f>Tabelle2[[#This Row],[85 und mehr Weiblich]]+Tabelle2[[#This Row],[85 und mehr]]</x:f>
        <x:v>11493</x:v>
      </x:c>
    </x:row>
    <x:row r="73">
      <x:c r="A73" s="1" t="s">
        <x:v>54</x:v>
      </x:c>
      <x:c r="B73" s="2" t="s">
        <x:v>108</x:v>
      </x:c>
      <x:c r="C73" s="3">
        <x:v>2</x:v>
      </x:c>
      <x:c r="D73" s="3">
        <x:v>46</x:v>
      </x:c>
      <x:c r="E73" s="3">
        <x:v>154</x:v>
      </x:c>
      <x:c r="F73" s="3">
        <x:v>219</x:v>
      </x:c>
      <x:c r="G73" s="3">
        <x:v>166</x:v>
      </x:c>
      <x:c r="H73" s="3">
        <x:v>148</x:v>
      </x:c>
      <x:c r="I73" s="3">
        <x:v>119</x:v>
      </x:c>
      <x:c r="J73" s="3">
        <x:v>141</x:v>
      </x:c>
      <x:c r="K73" s="3">
        <x:v>173</x:v>
      </x:c>
      <x:c r="L73" s="3">
        <x:v>230</x:v>
      </x:c>
      <x:c r="M73" s="3">
        <x:v>255</x:v>
      </x:c>
      <x:c r="N73" s="3">
        <x:v>217</x:v>
      </x:c>
      <x:c r="O73" s="3">
        <x:v>173</x:v>
      </x:c>
      <x:c r="P73" s="3">
        <x:v>132</x:v>
      </x:c>
      <x:c r="Q73" s="3">
        <x:v>212</x:v>
      </x:c>
      <x:c r="R73" s="3">
        <x:v>213</x:v>
      </x:c>
      <x:c r="S73" s="3">
        <x:v>139</x:v>
      </x:c>
      <x:c r="T73" s="3">
        <x:v>0</x:v>
      </x:c>
      <x:c r="U73" s="3">
        <x:v>5</x:v>
      </x:c>
      <x:c r="V73" s="3">
        <x:v>28</x:v>
      </x:c>
      <x:c r="W73" s="3">
        <x:v>46</x:v>
      </x:c>
      <x:c r="X73" s="3">
        <x:v>54</x:v>
      </x:c>
      <x:c r="Y73" s="3">
        <x:v>44</x:v>
      </x:c>
      <x:c r="Z73" s="3">
        <x:v>38</x:v>
      </x:c>
      <x:c r="AA73" s="3">
        <x:v>26</x:v>
      </x:c>
      <x:c r="AB73" s="3">
        <x:v>28</x:v>
      </x:c>
      <x:c r="AC73" s="3">
        <x:v>35</x:v>
      </x:c>
      <x:c r="AD73" s="3">
        <x:v>54</x:v>
      </x:c>
      <x:c r="AE73" s="3">
        <x:v>59</x:v>
      </x:c>
      <x:c r="AF73" s="3">
        <x:v>61</x:v>
      </x:c>
      <x:c r="AG73" s="3">
        <x:v>54</x:v>
      </x:c>
      <x:c r="AH73" s="3">
        <x:v>76</x:v>
      </x:c>
      <x:c r="AJ73" s="3">
        <x:v>90</x:v>
      </x:c>
      <x:c r="AK73" s="3">
        <x:v>87</x:v>
      </x:c>
      <x:c r="AL73" t="n">
        <x:f>Tabelle2[[#This Row],[1 jahre Weiblich]]+Tabelle2[[#This Row],[unter 1 Jahr Männlich]]</x:f>
        <x:v>7</x:v>
      </x:c>
      <x:c r="AM73" t="n">
        <x:f>Tabelle2[[#This Row],[1-15 Jahre Weiblich]]+Tabelle2[[#This Row],[1-15 jahre Mänlich]]</x:f>
        <x:v>74</x:v>
      </x:c>
      <x:c r="AN73" t="n">
        <x:f>Tabelle2[[#This Row],[15-20 Jahre Weiblich]]+Tabelle2[[#This Row],[15-20 jahre Männlich]]</x:f>
        <x:v>200</x:v>
      </x:c>
      <x:c r="AO73" t="n">
        <x:f>Tabelle2[[#This Row],[20-25 jahre weiblich]]+Tabelle2[[#This Row],[20-25 jahre Männlich]]</x:f>
        <x:v>273</x:v>
      </x:c>
      <x:c r="AP73" t="n">
        <x:f>Tabelle2[[#This Row],[25-30 Jahre Weiblich]]+Tabelle2[[#This Row],[25-30 jahre Männlich]]</x:f>
        <x:v>210</x:v>
      </x:c>
      <x:c r="AQ73" t="n">
        <x:f>Tabelle2[[#This Row],[30-35 Jahre Weiblich]]+Tabelle2[[#This Row],[30-35 jahre Männlich]]</x:f>
        <x:v>186</x:v>
      </x:c>
      <x:c r="AR73" t="n">
        <x:f>Tabelle2[[#This Row],[35-40 Jahre Weiblich]]+Tabelle2[[#This Row],[35-40 jahre  Männlich]]</x:f>
        <x:v>145</x:v>
      </x:c>
      <x:c r="AS73" t="n">
        <x:f>Tabelle2[[#This Row],[40-45 Jahre Weiblich]]+Tabelle2[[#This Row],[40-45 jahre Männlich]]</x:f>
        <x:v>169</x:v>
      </x:c>
      <x:c r="AT73" t="n">
        <x:f>Tabelle2[[#This Row],[45-50 Jahre Weiblich]]+Tabelle2[[#This Row],[45-50 jahre Männlich]]</x:f>
        <x:v>208</x:v>
      </x:c>
      <x:c r="AU73" t="n">
        <x:f>Tabelle2[[#This Row],[50-55 Jahre Weiblich]]+Tabelle2[[#This Row],[50-55 jahre Männlich]]</x:f>
        <x:v>284</x:v>
      </x:c>
      <x:c r="AV73" t="n">
        <x:f>Tabelle2[[#This Row],[55-60 Jahre Weiblich]]+Tabelle2[[#This Row],[55-60 jahre Männlich]]</x:f>
        <x:v>314</x:v>
      </x:c>
      <x:c r="AW73" t="n">
        <x:f>Tabelle2[[#This Row],[60-65 Jahre Weiblich]]+Tabelle2[[#This Row],[60-65 jahre Männlich]]</x:f>
        <x:v>278</x:v>
      </x:c>
      <x:c r="AX73" t="n">
        <x:f>Tabelle2[[#This Row],[65-70 Jahre Weiblich]]+Tabelle2[[#This Row],[65-70 Jahre  Männlich]]</x:f>
        <x:v>227</x:v>
      </x:c>
      <x:c r="AY73" t="n">
        <x:f>Tabelle2[[#This Row],[70-75Jahre Weiblich]]+Tabelle2[[#This Row],[70-75 jahre Männlch]]</x:f>
        <x:v>208</x:v>
      </x:c>
      <x:c r="AZ73" t="e">
        <x:f>Tabelle2[[#This Row],[75-80 Jahre Weiblich]]+Tabelle2[[#This Row],[75-80 jahre Männlich]]</x:f>
      </x:c>
      <x:c r="BA73" t="n">
        <x:f>Tabelle2[[#This Row],[80-85 Jahre Weiblich]]+Tabelle2[[#This Row],[80-85 jahre Männlich]]</x:f>
        <x:v>303</x:v>
      </x:c>
      <x:c r="BB73" t="n">
        <x:f>Tabelle2[[#This Row],[85 und mehr Weiblich]]+Tabelle2[[#This Row],[85 und mehr]]</x:f>
        <x:v>226</x:v>
      </x:c>
    </x:row>
    <x:row r="74">
      <x:c r="A74" s="1" t="s">
        <x:v>54</x:v>
      </x:c>
      <x:c r="B74" s="2" t="s">
        <x:v>109</x:v>
      </x:c>
      <x:c r="C74" s="3">
        <x:v>2</x:v>
      </x:c>
      <x:c r="D74" s="3">
        <x:v>7</x:v>
      </x:c>
      <x:c r="E74" s="3">
        <x:v>7</x:v>
      </x:c>
      <x:c r="F74" s="3">
        <x:v>19</x:v>
      </x:c>
      <x:c r="G74" s="3">
        <x:v>16</x:v>
      </x:c>
      <x:c r="H74" s="3">
        <x:v>37</x:v>
      </x:c>
      <x:c r="I74" s="3">
        <x:v>33</x:v>
      </x:c>
      <x:c r="J74" s="3">
        <x:v>44</x:v>
      </x:c>
      <x:c r="K74" s="3">
        <x:v>78</x:v>
      </x:c>
      <x:c r="L74" s="3">
        <x:v>147</x:v>
      </x:c>
      <x:c r="M74" s="3">
        <x:v>182</x:v>
      </x:c>
      <x:c r="N74" s="3">
        <x:v>296</x:v>
      </x:c>
      <x:c r="O74" s="3">
        <x:v>429</x:v>
      </x:c>
      <x:c r="P74" s="3">
        <x:v>496</x:v>
      </x:c>
      <x:c r="Q74" s="3">
        <x:v>1193</x:v>
      </x:c>
      <x:c r="R74" s="3">
        <x:v>1638</x:v>
      </x:c>
      <x:c r="S74" s="3">
        <x:v>3144</x:v>
      </x:c>
      <x:c r="T74" s="3">
        <x:v>0</x:v>
      </x:c>
      <x:c r="U74" s="3">
        <x:v>2</x:v>
      </x:c>
      <x:c r="V74" s="3">
        <x:v>11</x:v>
      </x:c>
      <x:c r="W74" s="3">
        <x:v>4</x:v>
      </x:c>
      <x:c r="X74" s="3">
        <x:v>3</x:v>
      </x:c>
      <x:c r="Y74" s="3">
        <x:v>3</x:v>
      </x:c>
      <x:c r="Z74" s="3">
        <x:v>9</x:v>
      </x:c>
      <x:c r="AA74" s="3">
        <x:v>11</x:v>
      </x:c>
      <x:c r="AB74" s="3">
        <x:v>12</x:v>
      </x:c>
      <x:c r="AC74" s="3">
        <x:v>17</x:v>
      </x:c>
      <x:c r="AD74" s="3">
        <x:v>50</x:v>
      </x:c>
      <x:c r="AE74" s="3">
        <x:v>88</x:v>
      </x:c>
      <x:c r="AF74" s="3">
        <x:v>136</x:v>
      </x:c>
      <x:c r="AG74" s="3">
        <x:v>166</x:v>
      </x:c>
      <x:c r="AH74" s="3">
        <x:v>329</x:v>
      </x:c>
      <x:c r="AJ74" s="3">
        <x:v>1624</x:v>
      </x:c>
      <x:c r="AK74" s="3">
        <x:v>5086</x:v>
      </x:c>
      <x:c r="AL74" t="n">
        <x:f>Tabelle2[[#This Row],[1 jahre Weiblich]]+Tabelle2[[#This Row],[unter 1 Jahr Männlich]]</x:f>
        <x:v>4</x:v>
      </x:c>
      <x:c r="AM74" t="n">
        <x:f>Tabelle2[[#This Row],[1-15 Jahre Weiblich]]+Tabelle2[[#This Row],[1-15 jahre Mänlich]]</x:f>
        <x:v>18</x:v>
      </x:c>
      <x:c r="AN74" t="n">
        <x:f>Tabelle2[[#This Row],[15-20 Jahre Weiblich]]+Tabelle2[[#This Row],[15-20 jahre Männlich]]</x:f>
        <x:v>11</x:v>
      </x:c>
      <x:c r="AO74" t="n">
        <x:f>Tabelle2[[#This Row],[20-25 jahre weiblich]]+Tabelle2[[#This Row],[20-25 jahre Männlich]]</x:f>
        <x:v>22</x:v>
      </x:c>
      <x:c r="AP74" t="n">
        <x:f>Tabelle2[[#This Row],[25-30 Jahre Weiblich]]+Tabelle2[[#This Row],[25-30 jahre Männlich]]</x:f>
        <x:v>19</x:v>
      </x:c>
      <x:c r="AQ74" t="n">
        <x:f>Tabelle2[[#This Row],[30-35 Jahre Weiblich]]+Tabelle2[[#This Row],[30-35 jahre Männlich]]</x:f>
        <x:v>46</x:v>
      </x:c>
      <x:c r="AR74" t="n">
        <x:f>Tabelle2[[#This Row],[35-40 Jahre Weiblich]]+Tabelle2[[#This Row],[35-40 jahre  Männlich]]</x:f>
        <x:v>44</x:v>
      </x:c>
      <x:c r="AS74" t="n">
        <x:f>Tabelle2[[#This Row],[40-45 Jahre Weiblich]]+Tabelle2[[#This Row],[40-45 jahre Männlich]]</x:f>
        <x:v>56</x:v>
      </x:c>
      <x:c r="AT74" t="n">
        <x:f>Tabelle2[[#This Row],[45-50 Jahre Weiblich]]+Tabelle2[[#This Row],[45-50 jahre Männlich]]</x:f>
        <x:v>95</x:v>
      </x:c>
      <x:c r="AU74" t="n">
        <x:f>Tabelle2[[#This Row],[50-55 Jahre Weiblich]]+Tabelle2[[#This Row],[50-55 jahre Männlich]]</x:f>
        <x:v>197</x:v>
      </x:c>
      <x:c r="AV74" t="n">
        <x:f>Tabelle2[[#This Row],[55-60 Jahre Weiblich]]+Tabelle2[[#This Row],[55-60 jahre Männlich]]</x:f>
        <x:v>270</x:v>
      </x:c>
      <x:c r="AW74" t="n">
        <x:f>Tabelle2[[#This Row],[60-65 Jahre Weiblich]]+Tabelle2[[#This Row],[60-65 jahre Männlich]]</x:f>
        <x:v>432</x:v>
      </x:c>
      <x:c r="AX74" t="n">
        <x:f>Tabelle2[[#This Row],[65-70 Jahre Weiblich]]+Tabelle2[[#This Row],[65-70 Jahre  Männlich]]</x:f>
        <x:v>595</x:v>
      </x:c>
      <x:c r="AY74" t="n">
        <x:f>Tabelle2[[#This Row],[70-75Jahre Weiblich]]+Tabelle2[[#This Row],[70-75 jahre Männlch]]</x:f>
        <x:v>825</x:v>
      </x:c>
      <x:c r="AZ74" t="e">
        <x:f>Tabelle2[[#This Row],[75-80 Jahre Weiblich]]+Tabelle2[[#This Row],[75-80 jahre Männlich]]</x:f>
      </x:c>
      <x:c r="BA74" t="n">
        <x:f>Tabelle2[[#This Row],[80-85 Jahre Weiblich]]+Tabelle2[[#This Row],[80-85 jahre Männlich]]</x:f>
        <x:v>3262</x:v>
      </x:c>
      <x:c r="BB74" t="n">
        <x:f>Tabelle2[[#This Row],[85 und mehr Weiblich]]+Tabelle2[[#This Row],[85 und mehr]]</x:f>
        <x:v>8230</x:v>
      </x:c>
    </x:row>
    <x:row r="75">
      <x:c r="A75" s="1" t="s">
        <x:v>54</x:v>
      </x:c>
      <x:c r="B75" s="2" t="s">
        <x:v>110</x:v>
      </x:c>
      <x:c r="C75" s="3">
        <x:v>1</x:v>
      </x:c>
      <x:c r="D75" s="3">
        <x:v>26</x:v>
      </x:c>
      <x:c r="E75" s="3">
        <x:v>20</x:v>
      </x:c>
      <x:c r="F75" s="3">
        <x:v>10</x:v>
      </x:c>
      <x:c r="G75" s="3">
        <x:v>22</x:v>
      </x:c>
      <x:c r="H75" s="3">
        <x:v>8</x:v>
      </x:c>
      <x:c r="I75" s="3">
        <x:v>11</x:v>
      </x:c>
      <x:c r="J75" s="3">
        <x:v>10</x:v>
      </x:c>
      <x:c r="K75" s="3">
        <x:v>19</x:v>
      </x:c>
      <x:c r="L75" s="3">
        <x:v>19</x:v>
      </x:c>
      <x:c r="M75" s="3">
        <x:v>25</x:v>
      </x:c>
      <x:c r="N75" s="3">
        <x:v>11</x:v>
      </x:c>
      <x:c r="O75" s="3">
        <x:v>28</x:v>
      </x:c>
      <x:c r="P75" s="3">
        <x:v>31</x:v>
      </x:c>
      <x:c r="Q75" s="3">
        <x:v>26</x:v>
      </x:c>
      <x:c r="R75" s="3">
        <x:v>30</x:v>
      </x:c>
      <x:c r="S75" s="3">
        <x:v>24</x:v>
      </x:c>
      <x:c r="T75" s="3">
        <x:v>0</x:v>
      </x:c>
      <x:c r="U75" s="3">
        <x:v>0</x:v>
      </x:c>
      <x:c r="V75" s="3">
        <x:v>11</x:v>
      </x:c>
      <x:c r="W75" s="3">
        <x:v>0</x:v>
      </x:c>
      <x:c r="X75" s="3">
        <x:v>3</x:v>
      </x:c>
      <x:c r="Y75" s="3">
        <x:v>4</x:v>
      </x:c>
      <x:c r="Z75" s="3">
        <x:v>2</x:v>
      </x:c>
      <x:c r="AA75" s="3">
        <x:v>5</x:v>
      </x:c>
      <x:c r="AB75" s="3">
        <x:v>1</x:v>
      </x:c>
      <x:c r="AC75" s="3">
        <x:v>4</x:v>
      </x:c>
      <x:c r="AD75" s="3">
        <x:v>7</x:v>
      </x:c>
      <x:c r="AE75" s="3">
        <x:v>6</x:v>
      </x:c>
      <x:c r="AF75" s="3">
        <x:v>9</x:v>
      </x:c>
      <x:c r="AG75" s="3">
        <x:v>10</x:v>
      </x:c>
      <x:c r="AH75" s="3">
        <x:v>14</x:v>
      </x:c>
      <x:c r="AJ75" s="3">
        <x:v>17</x:v>
      </x:c>
      <x:c r="AK75" s="3">
        <x:v>10</x:v>
      </x:c>
      <x:c r="AL75" t="n">
        <x:f>Tabelle2[[#This Row],[1 jahre Weiblich]]+Tabelle2[[#This Row],[unter 1 Jahr Männlich]]</x:f>
        <x:v>1</x:v>
      </x:c>
      <x:c r="AM75" t="n">
        <x:f>Tabelle2[[#This Row],[1-15 Jahre Weiblich]]+Tabelle2[[#This Row],[1-15 jahre Mänlich]]</x:f>
        <x:v>37</x:v>
      </x:c>
      <x:c r="AN75" t="n">
        <x:f>Tabelle2[[#This Row],[15-20 Jahre Weiblich]]+Tabelle2[[#This Row],[15-20 jahre Männlich]]</x:f>
        <x:v>20</x:v>
      </x:c>
      <x:c r="AO75" t="n">
        <x:f>Tabelle2[[#This Row],[20-25 jahre weiblich]]+Tabelle2[[#This Row],[20-25 jahre Männlich]]</x:f>
        <x:v>13</x:v>
      </x:c>
      <x:c r="AP75" t="n">
        <x:f>Tabelle2[[#This Row],[25-30 Jahre Weiblich]]+Tabelle2[[#This Row],[25-30 jahre Männlich]]</x:f>
        <x:v>26</x:v>
      </x:c>
      <x:c r="AQ75" t="n">
        <x:f>Tabelle2[[#This Row],[30-35 Jahre Weiblich]]+Tabelle2[[#This Row],[30-35 jahre Männlich]]</x:f>
        <x:v>10</x:v>
      </x:c>
      <x:c r="AR75" t="n">
        <x:f>Tabelle2[[#This Row],[35-40 Jahre Weiblich]]+Tabelle2[[#This Row],[35-40 jahre  Männlich]]</x:f>
        <x:v>16</x:v>
      </x:c>
      <x:c r="AS75" t="n">
        <x:f>Tabelle2[[#This Row],[40-45 Jahre Weiblich]]+Tabelle2[[#This Row],[40-45 jahre Männlich]]</x:f>
        <x:v>11</x:v>
      </x:c>
      <x:c r="AT75" t="n">
        <x:f>Tabelle2[[#This Row],[45-50 Jahre Weiblich]]+Tabelle2[[#This Row],[45-50 jahre Männlich]]</x:f>
        <x:v>23</x:v>
      </x:c>
      <x:c r="AU75" t="n">
        <x:f>Tabelle2[[#This Row],[50-55 Jahre Weiblich]]+Tabelle2[[#This Row],[50-55 jahre Männlich]]</x:f>
        <x:v>26</x:v>
      </x:c>
      <x:c r="AV75" t="n">
        <x:f>Tabelle2[[#This Row],[55-60 Jahre Weiblich]]+Tabelle2[[#This Row],[55-60 jahre Männlich]]</x:f>
        <x:v>31</x:v>
      </x:c>
      <x:c r="AW75" t="n">
        <x:f>Tabelle2[[#This Row],[60-65 Jahre Weiblich]]+Tabelle2[[#This Row],[60-65 jahre Männlich]]</x:f>
        <x:v>20</x:v>
      </x:c>
      <x:c r="AX75" t="n">
        <x:f>Tabelle2[[#This Row],[65-70 Jahre Weiblich]]+Tabelle2[[#This Row],[65-70 Jahre  Männlich]]</x:f>
        <x:v>38</x:v>
      </x:c>
      <x:c r="AY75" t="n">
        <x:f>Tabelle2[[#This Row],[70-75Jahre Weiblich]]+Tabelle2[[#This Row],[70-75 jahre Männlch]]</x:f>
        <x:v>45</x:v>
      </x:c>
      <x:c r="AZ75" t="e">
        <x:f>Tabelle2[[#This Row],[75-80 Jahre Weiblich]]+Tabelle2[[#This Row],[75-80 jahre Männlich]]</x:f>
      </x:c>
      <x:c r="BA75" t="n">
        <x:f>Tabelle2[[#This Row],[80-85 Jahre Weiblich]]+Tabelle2[[#This Row],[80-85 jahre Männlich]]</x:f>
        <x:v>47</x:v>
      </x:c>
      <x:c r="BB75" t="n">
        <x:f>Tabelle2[[#This Row],[85 und mehr Weiblich]]+Tabelle2[[#This Row],[85 und mehr]]</x:f>
        <x:v>34</x:v>
      </x:c>
    </x:row>
    <x:row r="76">
      <x:c r="A76" s="1" t="s">
        <x:v>54</x:v>
      </x:c>
      <x:c r="B76" s="2" t="s">
        <x:v>111</x:v>
      </x:c>
      <x:c r="C76" s="3">
        <x:v>0</x:v>
      </x:c>
      <x:c r="D76" s="3">
        <x:v>2</x:v>
      </x:c>
      <x:c r="E76" s="3">
        <x:v>0</x:v>
      </x:c>
      <x:c r="F76" s="3">
        <x:v>4</x:v>
      </x:c>
      <x:c r="G76" s="3">
        <x:v>2</x:v>
      </x:c>
      <x:c r="H76" s="3">
        <x:v>7</x:v>
      </x:c>
      <x:c r="I76" s="3">
        <x:v>4</x:v>
      </x:c>
      <x:c r="J76" s="3">
        <x:v>7</x:v>
      </x:c>
      <x:c r="K76" s="3">
        <x:v>15</x:v>
      </x:c>
      <x:c r="L76" s="3">
        <x:v>17</x:v>
      </x:c>
      <x:c r="M76" s="3">
        <x:v>20</x:v>
      </x:c>
      <x:c r="N76" s="3">
        <x:v>22</x:v>
      </x:c>
      <x:c r="O76" s="3">
        <x:v>20</x:v>
      </x:c>
      <x:c r="P76" s="3">
        <x:v>16</x:v>
      </x:c>
      <x:c r="Q76" s="3">
        <x:v>24</x:v>
      </x:c>
      <x:c r="R76" s="3">
        <x:v>24</x:v>
      </x:c>
      <x:c r="S76" s="3">
        <x:v>10</x:v>
      </x:c>
      <x:c r="T76" s="3">
        <x:v>0</x:v>
      </x:c>
      <x:c r="U76" s="3">
        <x:v>0</x:v>
      </x:c>
      <x:c r="V76" s="3">
        <x:v>2</x:v>
      </x:c>
      <x:c r="W76" s="3">
        <x:v>1</x:v>
      </x:c>
      <x:c r="X76" s="3">
        <x:v>0</x:v>
      </x:c>
      <x:c r="Y76" s="3">
        <x:v>0</x:v>
      </x:c>
      <x:c r="Z76" s="3">
        <x:v>2</x:v>
      </x:c>
      <x:c r="AA76" s="3">
        <x:v>1</x:v>
      </x:c>
      <x:c r="AB76" s="3">
        <x:v>3</x:v>
      </x:c>
      <x:c r="AC76" s="3">
        <x:v>3</x:v>
      </x:c>
      <x:c r="AD76" s="3">
        <x:v>4</x:v>
      </x:c>
      <x:c r="AE76" s="3">
        <x:v>8</x:v>
      </x:c>
      <x:c r="AF76" s="3">
        <x:v>11</x:v>
      </x:c>
      <x:c r="AG76" s="3">
        <x:v>10</x:v>
      </x:c>
      <x:c r="AH76" s="3">
        <x:v>8</x:v>
      </x:c>
      <x:c r="AJ76" s="3">
        <x:v>20</x:v>
      </x:c>
      <x:c r="AK76" s="3">
        <x:v>25</x:v>
      </x:c>
      <x:c r="AL76" t="n">
        <x:f>Tabelle2[[#This Row],[1 jahre Weiblich]]+Tabelle2[[#This Row],[unter 1 Jahr Männlich]]</x:f>
        <x:v>0</x:v>
      </x:c>
      <x:c r="AM76" t="n">
        <x:f>Tabelle2[[#This Row],[1-15 Jahre Weiblich]]+Tabelle2[[#This Row],[1-15 jahre Mänlich]]</x:f>
        <x:v>4</x:v>
      </x:c>
      <x:c r="AN76" t="n">
        <x:f>Tabelle2[[#This Row],[15-20 Jahre Weiblich]]+Tabelle2[[#This Row],[15-20 jahre Männlich]]</x:f>
        <x:v>1</x:v>
      </x:c>
      <x:c r="AO76" t="n">
        <x:f>Tabelle2[[#This Row],[20-25 jahre weiblich]]+Tabelle2[[#This Row],[20-25 jahre Männlich]]</x:f>
        <x:v>4</x:v>
      </x:c>
      <x:c r="AP76" t="n">
        <x:f>Tabelle2[[#This Row],[25-30 Jahre Weiblich]]+Tabelle2[[#This Row],[25-30 jahre Männlich]]</x:f>
        <x:v>2</x:v>
      </x:c>
      <x:c r="AQ76" t="n">
        <x:f>Tabelle2[[#This Row],[30-35 Jahre Weiblich]]+Tabelle2[[#This Row],[30-35 jahre Männlich]]</x:f>
        <x:v>9</x:v>
      </x:c>
      <x:c r="AR76" t="n">
        <x:f>Tabelle2[[#This Row],[35-40 Jahre Weiblich]]+Tabelle2[[#This Row],[35-40 jahre  Männlich]]</x:f>
        <x:v>5</x:v>
      </x:c>
      <x:c r="AS76" t="n">
        <x:f>Tabelle2[[#This Row],[40-45 Jahre Weiblich]]+Tabelle2[[#This Row],[40-45 jahre Männlich]]</x:f>
        <x:v>10</x:v>
      </x:c>
      <x:c r="AT76" t="n">
        <x:f>Tabelle2[[#This Row],[45-50 Jahre Weiblich]]+Tabelle2[[#This Row],[45-50 jahre Männlich]]</x:f>
        <x:v>18</x:v>
      </x:c>
      <x:c r="AU76" t="n">
        <x:f>Tabelle2[[#This Row],[50-55 Jahre Weiblich]]+Tabelle2[[#This Row],[50-55 jahre Männlich]]</x:f>
        <x:v>21</x:v>
      </x:c>
      <x:c r="AV76" t="n">
        <x:f>Tabelle2[[#This Row],[55-60 Jahre Weiblich]]+Tabelle2[[#This Row],[55-60 jahre Männlich]]</x:f>
        <x:v>28</x:v>
      </x:c>
      <x:c r="AW76" t="n">
        <x:f>Tabelle2[[#This Row],[60-65 Jahre Weiblich]]+Tabelle2[[#This Row],[60-65 jahre Männlich]]</x:f>
        <x:v>33</x:v>
      </x:c>
      <x:c r="AX76" t="n">
        <x:f>Tabelle2[[#This Row],[65-70 Jahre Weiblich]]+Tabelle2[[#This Row],[65-70 Jahre  Männlich]]</x:f>
        <x:v>30</x:v>
      </x:c>
      <x:c r="AY76" t="n">
        <x:f>Tabelle2[[#This Row],[70-75Jahre Weiblich]]+Tabelle2[[#This Row],[70-75 jahre Männlch]]</x:f>
        <x:v>24</x:v>
      </x:c>
      <x:c r="AZ76" t="e">
        <x:f>Tabelle2[[#This Row],[75-80 Jahre Weiblich]]+Tabelle2[[#This Row],[75-80 jahre Männlich]]</x:f>
      </x:c>
      <x:c r="BA76" t="n">
        <x:f>Tabelle2[[#This Row],[80-85 Jahre Weiblich]]+Tabelle2[[#This Row],[80-85 jahre Männlich]]</x:f>
        <x:v>44</x:v>
      </x:c>
      <x:c r="BB76" t="n">
        <x:f>Tabelle2[[#This Row],[85 und mehr Weiblich]]+Tabelle2[[#This Row],[85 und mehr]]</x:f>
        <x:v>35</x:v>
      </x:c>
    </x:row>
    <x:row r="77">
      <x:c r="A77" s="1" t="s">
        <x:v>54</x:v>
      </x:c>
      <x:c r="B77" s="2" t="s">
        <x:v>112</x:v>
      </x:c>
      <x:c r="C77" s="3">
        <x:v>0</x:v>
      </x:c>
      <x:c r="D77" s="3">
        <x:v>4</x:v>
      </x:c>
      <x:c r="E77" s="3">
        <x:v>9</x:v>
      </x:c>
      <x:c r="F77" s="3">
        <x:v>32</x:v>
      </x:c>
      <x:c r="G77" s="3">
        <x:v>54</x:v>
      </x:c>
      <x:c r="H77" s="3">
        <x:v>88</x:v>
      </x:c>
      <x:c r="I77" s="3">
        <x:v>106</x:v>
      </x:c>
      <x:c r="J77" s="3">
        <x:v>94</x:v>
      </x:c>
      <x:c r="K77" s="3">
        <x:v>92</x:v>
      </x:c>
      <x:c r="L77" s="3">
        <x:v>91</x:v>
      </x:c>
      <x:c r="M77" s="3">
        <x:v>55</x:v>
      </x:c>
      <x:c r="N77" s="3">
        <x:v>56</x:v>
      </x:c>
      <x:c r="O77" s="3">
        <x:v>31</x:v>
      </x:c>
      <x:c r="P77" s="3">
        <x:v>23</x:v>
      </x:c>
      <x:c r="Q77" s="3">
        <x:v>19</x:v>
      </x:c>
      <x:c r="R77" s="3">
        <x:v>21</x:v>
      </x:c>
      <x:c r="S77" s="3">
        <x:v>31</x:v>
      </x:c>
      <x:c r="T77" s="3">
        <x:v>0</x:v>
      </x:c>
      <x:c r="U77" s="3">
        <x:v>0</x:v>
      </x:c>
      <x:c r="V77" s="3">
        <x:v>4</x:v>
      </x:c>
      <x:c r="W77" s="3">
        <x:v>7</x:v>
      </x:c>
      <x:c r="X77" s="3">
        <x:v>4</x:v>
      </x:c>
      <x:c r="Y77" s="3">
        <x:v>14</x:v>
      </x:c>
      <x:c r="Z77" s="3">
        <x:v>21</x:v>
      </x:c>
      <x:c r="AA77" s="3">
        <x:v>28</x:v>
      </x:c>
      <x:c r="AB77" s="3">
        <x:v>20</x:v>
      </x:c>
      <x:c r="AC77" s="3">
        <x:v>27</x:v>
      </x:c>
      <x:c r="AD77" s="3">
        <x:v>35</x:v>
      </x:c>
      <x:c r="AE77" s="3">
        <x:v>25</x:v>
      </x:c>
      <x:c r="AF77" s="3">
        <x:v>17</x:v>
      </x:c>
      <x:c r="AG77" s="3">
        <x:v>21</x:v>
      </x:c>
      <x:c r="AH77" s="3">
        <x:v>17</x:v>
      </x:c>
      <x:c r="AJ77" s="3">
        <x:v>21</x:v>
      </x:c>
      <x:c r="AK77" s="3">
        <x:v>27</x:v>
      </x:c>
      <x:c r="AL77" t="n">
        <x:f>Tabelle2[[#This Row],[1 jahre Weiblich]]+Tabelle2[[#This Row],[unter 1 Jahr Männlich]]</x:f>
        <x:v>0</x:v>
      </x:c>
      <x:c r="AM77" t="n">
        <x:f>Tabelle2[[#This Row],[1-15 Jahre Weiblich]]+Tabelle2[[#This Row],[1-15 jahre Mänlich]]</x:f>
        <x:v>8</x:v>
      </x:c>
      <x:c r="AN77" t="n">
        <x:f>Tabelle2[[#This Row],[15-20 Jahre Weiblich]]+Tabelle2[[#This Row],[15-20 jahre Männlich]]</x:f>
        <x:v>16</x:v>
      </x:c>
      <x:c r="AO77" t="n">
        <x:f>Tabelle2[[#This Row],[20-25 jahre weiblich]]+Tabelle2[[#This Row],[20-25 jahre Männlich]]</x:f>
        <x:v>36</x:v>
      </x:c>
      <x:c r="AP77" t="n">
        <x:f>Tabelle2[[#This Row],[25-30 Jahre Weiblich]]+Tabelle2[[#This Row],[25-30 jahre Männlich]]</x:f>
        <x:v>68</x:v>
      </x:c>
      <x:c r="AQ77" t="n">
        <x:f>Tabelle2[[#This Row],[30-35 Jahre Weiblich]]+Tabelle2[[#This Row],[30-35 jahre Männlich]]</x:f>
        <x:v>109</x:v>
      </x:c>
      <x:c r="AR77" t="n">
        <x:f>Tabelle2[[#This Row],[35-40 Jahre Weiblich]]+Tabelle2[[#This Row],[35-40 jahre  Männlich]]</x:f>
        <x:v>134</x:v>
      </x:c>
      <x:c r="AS77" t="n">
        <x:f>Tabelle2[[#This Row],[40-45 Jahre Weiblich]]+Tabelle2[[#This Row],[40-45 jahre Männlich]]</x:f>
        <x:v>114</x:v>
      </x:c>
      <x:c r="AT77" t="n">
        <x:f>Tabelle2[[#This Row],[45-50 Jahre Weiblich]]+Tabelle2[[#This Row],[45-50 jahre Männlich]]</x:f>
        <x:v>119</x:v>
      </x:c>
      <x:c r="AU77" t="n">
        <x:f>Tabelle2[[#This Row],[50-55 Jahre Weiblich]]+Tabelle2[[#This Row],[50-55 jahre Männlich]]</x:f>
        <x:v>126</x:v>
      </x:c>
      <x:c r="AV77" t="n">
        <x:f>Tabelle2[[#This Row],[55-60 Jahre Weiblich]]+Tabelle2[[#This Row],[55-60 jahre Männlich]]</x:f>
        <x:v>80</x:v>
      </x:c>
      <x:c r="AW77" t="n">
        <x:f>Tabelle2[[#This Row],[60-65 Jahre Weiblich]]+Tabelle2[[#This Row],[60-65 jahre Männlich]]</x:f>
        <x:v>73</x:v>
      </x:c>
      <x:c r="AX77" t="n">
        <x:f>Tabelle2[[#This Row],[65-70 Jahre Weiblich]]+Tabelle2[[#This Row],[65-70 Jahre  Männlich]]</x:f>
        <x:v>52</x:v>
      </x:c>
      <x:c r="AY77" t="n">
        <x:f>Tabelle2[[#This Row],[70-75Jahre Weiblich]]+Tabelle2[[#This Row],[70-75 jahre Männlch]]</x:f>
        <x:v>40</x:v>
      </x:c>
      <x:c r="AZ77" t="e">
        <x:f>Tabelle2[[#This Row],[75-80 Jahre Weiblich]]+Tabelle2[[#This Row],[75-80 jahre Männlich]]</x:f>
      </x:c>
      <x:c r="BA77" t="n">
        <x:f>Tabelle2[[#This Row],[80-85 Jahre Weiblich]]+Tabelle2[[#This Row],[80-85 jahre Männlich]]</x:f>
        <x:v>42</x:v>
      </x:c>
      <x:c r="BB77" t="n">
        <x:f>Tabelle2[[#This Row],[85 und mehr Weiblich]]+Tabelle2[[#This Row],[85 und mehr]]</x:f>
        <x:v>58</x:v>
      </x:c>
    </x:row>
    <x:row r="78">
      <x:c r="A78" s="1" t="s">
        <x:v>54</x:v>
      </x:c>
      <x:c r="B78" s="2" t="str">
        <x:v>Suizide</x:v>
      </x:c>
      <x:c r="C78" s="3">
        <x:v>0</x:v>
      </x:c>
      <x:c r="D78" s="3">
        <x:v>8</x:v>
      </x:c>
      <x:c r="E78" s="3">
        <x:v>132</x:v>
      </x:c>
      <x:c r="F78" s="3">
        <x:v>276</x:v>
      </x:c>
      <x:c r="G78" s="3">
        <x:v>300</x:v>
      </x:c>
      <x:c r="H78" s="3">
        <x:v>339</x:v>
      </x:c>
      <x:c r="I78" s="3">
        <x:v>357</x:v>
      </x:c>
      <x:c r="J78" s="3">
        <x:v>348</x:v>
      </x:c>
      <x:c r="K78" s="3">
        <x:v>522</x:v>
      </x:c>
      <x:c r="L78" s="3">
        <x:v>767</x:v>
      </x:c>
      <x:c r="M78" s="3">
        <x:v>739</x:v>
      </x:c>
      <x:c r="N78" s="3">
        <x:v>558</x:v>
      </x:c>
      <x:c r="O78" s="3">
        <x:v>508</x:v>
      </x:c>
      <x:c r="P78" s="3">
        <x:v>431</x:v>
      </x:c>
      <x:c r="Q78" s="3">
        <x:v>675</x:v>
      </x:c>
      <x:c r="R78" s="3">
        <x:v>559</x:v>
      </x:c>
      <x:c r="S78" s="3">
        <x:v>592</x:v>
      </x:c>
      <x:c r="T78" s="3">
        <x:v>0</x:v>
      </x:c>
      <x:c r="U78" s="3">
        <x:v>0</x:v>
      </x:c>
      <x:c r="V78" s="3">
        <x:v>5</x:v>
      </x:c>
      <x:c r="W78" s="3">
        <x:v>47</x:v>
      </x:c>
      <x:c r="X78" s="3">
        <x:v>62</x:v>
      </x:c>
      <x:c r="Y78" s="3">
        <x:v>76</x:v>
      </x:c>
      <x:c r="Z78" s="3">
        <x:v>93</x:v>
      </x:c>
      <x:c r="AA78" s="3">
        <x:v>86</x:v>
      </x:c>
      <x:c r="AB78" s="3">
        <x:v>115</x:v>
      </x:c>
      <x:c r="AC78" s="3">
        <x:v>165</x:v>
      </x:c>
      <x:c r="AD78" s="3">
        <x:v>288</x:v>
      </x:c>
      <x:c r="AE78" s="3">
        <x:v>255</x:v>
      </x:c>
      <x:c r="AF78" s="3">
        <x:v>175</x:v>
      </x:c>
      <x:c r="AG78" s="3">
        <x:v>159</x:v>
      </x:c>
      <x:c r="AH78" s="3">
        <x:v>155</x:v>
      </x:c>
      <x:c r="AJ78" s="3">
        <x:v>192</x:v>
      </x:c>
      <x:c r="AK78" s="3">
        <x:v>192</x:v>
      </x:c>
      <x:c r="AL78" t="n">
        <x:f>Tabelle2[[#This Row],[1 jahre Weiblich]]+Tabelle2[[#This Row],[unter 1 Jahr Männlich]]</x:f>
        <x:v>0</x:v>
      </x:c>
      <x:c r="AM78" t="n">
        <x:f>Tabelle2[[#This Row],[1-15 Jahre Weiblich]]+Tabelle2[[#This Row],[1-15 jahre Mänlich]]</x:f>
        <x:v>13</x:v>
      </x:c>
      <x:c r="AN78" t="n">
        <x:f>Tabelle2[[#This Row],[15-20 Jahre Weiblich]]+Tabelle2[[#This Row],[15-20 jahre Männlich]]</x:f>
        <x:v>179</x:v>
      </x:c>
      <x:c r="AO78" t="n">
        <x:f>Tabelle2[[#This Row],[20-25 jahre weiblich]]+Tabelle2[[#This Row],[20-25 jahre Männlich]]</x:f>
        <x:v>338</x:v>
      </x:c>
      <x:c r="AP78" t="n">
        <x:f>Tabelle2[[#This Row],[25-30 Jahre Weiblich]]+Tabelle2[[#This Row],[25-30 jahre Männlich]]</x:f>
        <x:v>376</x:v>
      </x:c>
      <x:c r="AQ78" t="n">
        <x:f>Tabelle2[[#This Row],[30-35 Jahre Weiblich]]+Tabelle2[[#This Row],[30-35 jahre Männlich]]</x:f>
        <x:v>432</x:v>
      </x:c>
      <x:c r="AR78" t="n">
        <x:f>Tabelle2[[#This Row],[35-40 Jahre Weiblich]]+Tabelle2[[#This Row],[35-40 jahre  Männlich]]</x:f>
        <x:v>443</x:v>
      </x:c>
      <x:c r="AS78" t="n">
        <x:f>Tabelle2[[#This Row],[40-45 Jahre Weiblich]]+Tabelle2[[#This Row],[40-45 jahre Männlich]]</x:f>
        <x:v>463</x:v>
      </x:c>
      <x:c r="AT78" t="n">
        <x:f>Tabelle2[[#This Row],[45-50 Jahre Weiblich]]+Tabelle2[[#This Row],[45-50 jahre Männlich]]</x:f>
        <x:v>687</x:v>
      </x:c>
      <x:c r="AU78" t="n">
        <x:f>Tabelle2[[#This Row],[50-55 Jahre Weiblich]]+Tabelle2[[#This Row],[50-55 jahre Männlich]]</x:f>
        <x:v>1055</x:v>
      </x:c>
      <x:c r="AV78" t="n">
        <x:f>Tabelle2[[#This Row],[55-60 Jahre Weiblich]]+Tabelle2[[#This Row],[55-60 jahre Männlich]]</x:f>
        <x:v>994</x:v>
      </x:c>
      <x:c r="AW78" t="n">
        <x:f>Tabelle2[[#This Row],[60-65 Jahre Weiblich]]+Tabelle2[[#This Row],[60-65 jahre Männlich]]</x:f>
        <x:v>733</x:v>
      </x:c>
      <x:c r="AX78" t="n">
        <x:f>Tabelle2[[#This Row],[65-70 Jahre Weiblich]]+Tabelle2[[#This Row],[65-70 Jahre  Männlich]]</x:f>
        <x:v>667</x:v>
      </x:c>
      <x:c r="AY78" t="n">
        <x:f>Tabelle2[[#This Row],[70-75Jahre Weiblich]]+Tabelle2[[#This Row],[70-75 jahre Männlch]]</x:f>
        <x:v>586</x:v>
      </x:c>
      <x:c r="AZ78" t="e">
        <x:f>Tabelle2[[#This Row],[75-80 Jahre Weiblich]]+Tabelle2[[#This Row],[75-80 jahre Männlich]]</x:f>
      </x:c>
      <x:c r="BA78" t="n">
        <x:f>Tabelle2[[#This Row],[80-85 Jahre Weiblich]]+Tabelle2[[#This Row],[80-85 jahre Männlich]]</x:f>
        <x:v>751</x:v>
      </x:c>
      <x:c r="BB78" t="n">
        <x:f>Tabelle2[[#This Row],[85 und mehr Weiblich]]+Tabelle2[[#This Row],[85 und mehr]]</x:f>
        <x:v>784</x:v>
      </x:c>
    </x:row>
    <x:row r="79">
      <x:c r="A79" s="1" t="s">
        <x:v>54</x:v>
      </x:c>
      <x:c r="B79" s="2" t="s">
        <x:v>113</x:v>
      </x:c>
      <x:c r="C79" s="3">
        <x:v>11</x:v>
      </x:c>
      <x:c r="D79" s="3">
        <x:v>5</x:v>
      </x:c>
      <x:c r="E79" s="3">
        <x:v>4</x:v>
      </x:c>
      <x:c r="F79" s="3">
        <x:v>8</x:v>
      </x:c>
      <x:c r="G79" s="3">
        <x:v>8</x:v>
      </x:c>
      <x:c r="H79" s="3">
        <x:v>9</x:v>
      </x:c>
      <x:c r="I79" s="3">
        <x:v>15</x:v>
      </x:c>
      <x:c r="J79" s="3">
        <x:v>16</x:v>
      </x:c>
      <x:c r="K79" s="3">
        <x:v>8</x:v>
      </x:c>
      <x:c r="L79" s="3">
        <x:v>12</x:v>
      </x:c>
      <x:c r="M79" s="3">
        <x:v>22</x:v>
      </x:c>
      <x:c r="N79" s="3">
        <x:v>12</x:v>
      </x:c>
      <x:c r="O79" s="3">
        <x:v>11</x:v>
      </x:c>
      <x:c r="P79" s="3">
        <x:v>3</x:v>
      </x:c>
      <x:c r="Q79" s="3">
        <x:v>10</x:v>
      </x:c>
      <x:c r="R79" s="3">
        <x:v>6</x:v>
      </x:c>
      <x:c r="S79" s="3">
        <x:v>9</x:v>
      </x:c>
      <x:c r="T79" s="3">
        <x:v>0</x:v>
      </x:c>
      <x:c r="U79" s="3">
        <x:v>3</x:v>
      </x:c>
      <x:c r="V79" s="3">
        <x:v>14</x:v>
      </x:c>
      <x:c r="W79" s="3">
        <x:v>10</x:v>
      </x:c>
      <x:c r="X79" s="3">
        <x:v>8</x:v>
      </x:c>
      <x:c r="Y79" s="3">
        <x:v>6</x:v>
      </x:c>
      <x:c r="Z79" s="3">
        <x:v>16</x:v>
      </x:c>
      <x:c r="AA79" s="3">
        <x:v>14</x:v>
      </x:c>
      <x:c r="AB79" s="3">
        <x:v>10</x:v>
      </x:c>
      <x:c r="AC79" s="3">
        <x:v>4</x:v>
      </x:c>
      <x:c r="AD79" s="3">
        <x:v>9</x:v>
      </x:c>
      <x:c r="AE79" s="3">
        <x:v>9</x:v>
      </x:c>
      <x:c r="AF79" s="3">
        <x:v>10</x:v>
      </x:c>
      <x:c r="AG79" s="3">
        <x:v>12</x:v>
      </x:c>
      <x:c r="AH79" s="3">
        <x:v>4</x:v>
      </x:c>
      <x:c r="AJ79" s="3">
        <x:v>10</x:v>
      </x:c>
      <x:c r="AK79" s="3">
        <x:v>14</x:v>
      </x:c>
      <x:c r="AL79" t="n">
        <x:f>Tabelle2[[#This Row],[1 jahre Weiblich]]+Tabelle2[[#This Row],[unter 1 Jahr Männlich]]</x:f>
        <x:v>14</x:v>
      </x:c>
      <x:c r="AM79" t="n">
        <x:f>Tabelle2[[#This Row],[1-15 Jahre Weiblich]]+Tabelle2[[#This Row],[1-15 jahre Mänlich]]</x:f>
        <x:v>19</x:v>
      </x:c>
      <x:c r="AN79" t="n">
        <x:f>Tabelle2[[#This Row],[15-20 Jahre Weiblich]]+Tabelle2[[#This Row],[15-20 jahre Männlich]]</x:f>
        <x:v>14</x:v>
      </x:c>
      <x:c r="AO79" t="n">
        <x:f>Tabelle2[[#This Row],[20-25 jahre weiblich]]+Tabelle2[[#This Row],[20-25 jahre Männlich]]</x:f>
        <x:v>16</x:v>
      </x:c>
      <x:c r="AP79" t="n">
        <x:f>Tabelle2[[#This Row],[25-30 Jahre Weiblich]]+Tabelle2[[#This Row],[25-30 jahre Männlich]]</x:f>
        <x:v>14</x:v>
      </x:c>
      <x:c r="AQ79" t="n">
        <x:f>Tabelle2[[#This Row],[30-35 Jahre Weiblich]]+Tabelle2[[#This Row],[30-35 jahre Männlich]]</x:f>
        <x:v>25</x:v>
      </x:c>
      <x:c r="AR79" t="n">
        <x:f>Tabelle2[[#This Row],[35-40 Jahre Weiblich]]+Tabelle2[[#This Row],[35-40 jahre  Männlich]]</x:f>
        <x:v>29</x:v>
      </x:c>
      <x:c r="AS79" t="n">
        <x:f>Tabelle2[[#This Row],[40-45 Jahre Weiblich]]+Tabelle2[[#This Row],[40-45 jahre Männlich]]</x:f>
        <x:v>26</x:v>
      </x:c>
      <x:c r="AT79" t="n">
        <x:f>Tabelle2[[#This Row],[45-50 Jahre Weiblich]]+Tabelle2[[#This Row],[45-50 jahre Männlich]]</x:f>
        <x:v>12</x:v>
      </x:c>
      <x:c r="AU79" t="n">
        <x:f>Tabelle2[[#This Row],[50-55 Jahre Weiblich]]+Tabelle2[[#This Row],[50-55 jahre Männlich]]</x:f>
        <x:v>21</x:v>
      </x:c>
      <x:c r="AV79" t="n">
        <x:f>Tabelle2[[#This Row],[55-60 Jahre Weiblich]]+Tabelle2[[#This Row],[55-60 jahre Männlich]]</x:f>
        <x:v>31</x:v>
      </x:c>
      <x:c r="AW79" t="n">
        <x:f>Tabelle2[[#This Row],[60-65 Jahre Weiblich]]+Tabelle2[[#This Row],[60-65 jahre Männlich]]</x:f>
        <x:v>22</x:v>
      </x:c>
      <x:c r="AX79" t="n">
        <x:f>Tabelle2[[#This Row],[65-70 Jahre Weiblich]]+Tabelle2[[#This Row],[65-70 Jahre  Männlich]]</x:f>
        <x:v>23</x:v>
      </x:c>
      <x:c r="AY79" t="n">
        <x:f>Tabelle2[[#This Row],[70-75Jahre Weiblich]]+Tabelle2[[#This Row],[70-75 jahre Männlch]]</x:f>
        <x:v>7</x:v>
      </x:c>
      <x:c r="AZ79" t="e">
        <x:f>Tabelle2[[#This Row],[75-80 Jahre Weiblich]]+Tabelle2[[#This Row],[75-80 jahre Männlich]]</x:f>
      </x:c>
      <x:c r="BA79" t="n">
        <x:f>Tabelle2[[#This Row],[80-85 Jahre Weiblich]]+Tabelle2[[#This Row],[80-85 jahre Männlich]]</x:f>
        <x:v>16</x:v>
      </x:c>
      <x:c r="BB79" t="n">
        <x:f>Tabelle2[[#This Row],[85 und mehr Weiblich]]+Tabelle2[[#This Row],[85 und mehr]]</x:f>
        <x:v>23</x:v>
      </x:c>
    </x:row>
    <x:row r="80">
      <x:c r="A80" s="1" t="s">
        <x:v>54</x:v>
      </x:c>
      <x:c r="B80" s="2" t="s">
        <x:v>114</x:v>
      </x:c>
      <x:c r="C80" s="3">
        <x:v>3</x:v>
      </x:c>
      <x:c r="D80" s="3">
        <x:v>2</x:v>
      </x:c>
      <x:c r="E80" s="3">
        <x:v>18</x:v>
      </x:c>
      <x:c r="F80" s="3">
        <x:v>37</x:v>
      </x:c>
      <x:c r="G80" s="3">
        <x:v>42</x:v>
      </x:c>
      <x:c r="H80" s="3">
        <x:v>54</x:v>
      </x:c>
      <x:c r="I80" s="3">
        <x:v>51</x:v>
      </x:c>
      <x:c r="J80" s="3">
        <x:v>62</x:v>
      </x:c>
      <x:c r="K80" s="3">
        <x:v>70</x:v>
      </x:c>
      <x:c r="L80" s="3">
        <x:v>89</x:v>
      </x:c>
      <x:c r="M80" s="3">
        <x:v>97</x:v>
      </x:c>
      <x:c r="N80" s="3">
        <x:v>84</x:v>
      </x:c>
      <x:c r="O80" s="3">
        <x:v>85</x:v>
      </x:c>
      <x:c r="P80" s="3">
        <x:v>75</x:v>
      </x:c>
      <x:c r="Q80" s="3">
        <x:v>139</x:v>
      </x:c>
      <x:c r="R80" s="3">
        <x:v>101</x:v>
      </x:c>
      <x:c r="S80" s="3">
        <x:v>172</x:v>
      </x:c>
      <x:c r="T80" s="3">
        <x:v>0</x:v>
      </x:c>
      <x:c r="U80" s="3">
        <x:v>1</x:v>
      </x:c>
      <x:c r="V80" s="3">
        <x:v>3</x:v>
      </x:c>
      <x:c r="W80" s="3">
        <x:v>6</x:v>
      </x:c>
      <x:c r="X80" s="3">
        <x:v>9</x:v>
      </x:c>
      <x:c r="Y80" s="3">
        <x:v>8</x:v>
      </x:c>
      <x:c r="Z80" s="3">
        <x:v>14</x:v>
      </x:c>
      <x:c r="AA80" s="3">
        <x:v>13</x:v>
      </x:c>
      <x:c r="AB80" s="3">
        <x:v>14</x:v>
      </x:c>
      <x:c r="AC80" s="3">
        <x:v>20</x:v>
      </x:c>
      <x:c r="AD80" s="3">
        <x:v>20</x:v>
      </x:c>
      <x:c r="AE80" s="3">
        <x:v>37</x:v>
      </x:c>
      <x:c r="AF80" s="3">
        <x:v>26</x:v>
      </x:c>
      <x:c r="AG80" s="3">
        <x:v>39</x:v>
      </x:c>
      <x:c r="AH80" s="3">
        <x:v>34</x:v>
      </x:c>
      <x:c r="AJ80" s="3">
        <x:v>102</x:v>
      </x:c>
      <x:c r="AK80" s="3">
        <x:v>299</x:v>
      </x:c>
      <x:c r="AL80" t="n">
        <x:f>Tabelle2[[#This Row],[1 jahre Weiblich]]+Tabelle2[[#This Row],[unter 1 Jahr Männlich]]</x:f>
        <x:v>4</x:v>
      </x:c>
      <x:c r="AM80" t="n">
        <x:f>Tabelle2[[#This Row],[1-15 Jahre Weiblich]]+Tabelle2[[#This Row],[1-15 jahre Mänlich]]</x:f>
        <x:v>5</x:v>
      </x:c>
      <x:c r="AN80" t="n">
        <x:f>Tabelle2[[#This Row],[15-20 Jahre Weiblich]]+Tabelle2[[#This Row],[15-20 jahre Männlich]]</x:f>
        <x:v>24</x:v>
      </x:c>
      <x:c r="AO80" t="n">
        <x:f>Tabelle2[[#This Row],[20-25 jahre weiblich]]+Tabelle2[[#This Row],[20-25 jahre Männlich]]</x:f>
        <x:v>46</x:v>
      </x:c>
      <x:c r="AP80" t="n">
        <x:f>Tabelle2[[#This Row],[25-30 Jahre Weiblich]]+Tabelle2[[#This Row],[25-30 jahre Männlich]]</x:f>
        <x:v>50</x:v>
      </x:c>
      <x:c r="AQ80" t="n">
        <x:f>Tabelle2[[#This Row],[30-35 Jahre Weiblich]]+Tabelle2[[#This Row],[30-35 jahre Männlich]]</x:f>
        <x:v>68</x:v>
      </x:c>
      <x:c r="AR80" t="n">
        <x:f>Tabelle2[[#This Row],[35-40 Jahre Weiblich]]+Tabelle2[[#This Row],[35-40 jahre  Männlich]]</x:f>
        <x:v>64</x:v>
      </x:c>
      <x:c r="AS80" t="n">
        <x:f>Tabelle2[[#This Row],[40-45 Jahre Weiblich]]+Tabelle2[[#This Row],[40-45 jahre Männlich]]</x:f>
        <x:v>76</x:v>
      </x:c>
      <x:c r="AT80" t="n">
        <x:f>Tabelle2[[#This Row],[45-50 Jahre Weiblich]]+Tabelle2[[#This Row],[45-50 jahre Männlich]]</x:f>
        <x:v>90</x:v>
      </x:c>
      <x:c r="AU80" t="n">
        <x:f>Tabelle2[[#This Row],[50-55 Jahre Weiblich]]+Tabelle2[[#This Row],[50-55 jahre Männlich]]</x:f>
        <x:v>109</x:v>
      </x:c>
      <x:c r="AV80" t="n">
        <x:f>Tabelle2[[#This Row],[55-60 Jahre Weiblich]]+Tabelle2[[#This Row],[55-60 jahre Männlich]]</x:f>
        <x:v>134</x:v>
      </x:c>
      <x:c r="AW80" t="n">
        <x:f>Tabelle2[[#This Row],[60-65 Jahre Weiblich]]+Tabelle2[[#This Row],[60-65 jahre Männlich]]</x:f>
        <x:v>110</x:v>
      </x:c>
      <x:c r="AX80" t="n">
        <x:f>Tabelle2[[#This Row],[65-70 Jahre Weiblich]]+Tabelle2[[#This Row],[65-70 Jahre  Männlich]]</x:f>
        <x:v>124</x:v>
      </x:c>
      <x:c r="AY80" t="n">
        <x:f>Tabelle2[[#This Row],[70-75Jahre Weiblich]]+Tabelle2[[#This Row],[70-75 jahre Männlch]]</x:f>
        <x:v>109</x:v>
      </x:c>
      <x:c r="AZ80" t="e">
        <x:f>Tabelle2[[#This Row],[75-80 Jahre Weiblich]]+Tabelle2[[#This Row],[75-80 jahre Männlich]]</x:f>
      </x:c>
      <x:c r="BA80" t="n">
        <x:f>Tabelle2[[#This Row],[80-85 Jahre Weiblich]]+Tabelle2[[#This Row],[80-85 jahre Männlich]]</x:f>
        <x:v>203</x:v>
      </x:c>
      <x:c r="BB80" t="n">
        <x:f>Tabelle2[[#This Row],[85 und mehr Weiblich]]+Tabelle2[[#This Row],[85 und mehr]]</x:f>
        <x:v>471</x:v>
      </x:c>
    </x:row>
    <x:row r="81">
      <x:c r="A81" s="1" t="s">
        <x:v>54</x:v>
      </x:c>
      <x:c r="B81" s="2" t="s">
        <x:v>115</x:v>
      </x:c>
      <x:c r="C81" s="3">
        <x:v>0</x:v>
      </x:c>
      <x:c r="D81" s="3">
        <x:v>0</x:v>
      </x:c>
      <x:c r="E81" s="3">
        <x:v>0</x:v>
      </x:c>
      <x:c r="F81" s="3">
        <x:v>0</x:v>
      </x:c>
      <x:c r="G81" s="3">
        <x:v>0</x:v>
      </x:c>
      <x:c r="H81" s="3">
        <x:v>0</x:v>
      </x:c>
      <x:c r="I81" s="3">
        <x:v>0</x:v>
      </x:c>
      <x:c r="J81" s="3">
        <x:v>0</x:v>
      </x:c>
      <x:c r="K81" s="3">
        <x:v>0</x:v>
      </x:c>
      <x:c r="L81" s="3">
        <x:v>0</x:v>
      </x:c>
      <x:c r="M81" s="3">
        <x:v>0</x:v>
      </x:c>
      <x:c r="N81" s="3">
        <x:v>0</x:v>
      </x:c>
      <x:c r="O81" s="3">
        <x:v>0</x:v>
      </x:c>
      <x:c r="P81" s="3">
        <x:v>0</x:v>
      </x:c>
      <x:c r="Q81" s="3">
        <x:v>0</x:v>
      </x:c>
      <x:c r="R81" s="3">
        <x:v>0</x:v>
      </x:c>
      <x:c r="S81" s="3">
        <x:v>0</x:v>
      </x:c>
      <x:c r="T81" s="3">
        <x:v>0</x:v>
      </x:c>
      <x:c r="U81" s="3">
        <x:v>0</x:v>
      </x:c>
      <x:c r="V81" s="3">
        <x:v>0</x:v>
      </x:c>
      <x:c r="W81" s="3">
        <x:v>0</x:v>
      </x:c>
      <x:c r="X81" s="3">
        <x:v>0</x:v>
      </x:c>
      <x:c r="Y81" s="3">
        <x:v>0</x:v>
      </x:c>
      <x:c r="Z81" s="3">
        <x:v>0</x:v>
      </x:c>
      <x:c r="AA81" s="3">
        <x:v>0</x:v>
      </x:c>
      <x:c r="AB81" s="3">
        <x:v>0</x:v>
      </x:c>
      <x:c r="AC81" s="3">
        <x:v>0</x:v>
      </x:c>
      <x:c r="AD81" s="3">
        <x:v>0</x:v>
      </x:c>
      <x:c r="AE81" s="3">
        <x:v>0</x:v>
      </x:c>
      <x:c r="AF81" s="3">
        <x:v>0</x:v>
      </x:c>
      <x:c r="AG81" s="3">
        <x:v>0</x:v>
      </x:c>
      <x:c r="AH81" s="3">
        <x:v>0</x:v>
      </x:c>
      <x:c r="AJ81" s="3">
        <x:v>0</x:v>
      </x:c>
      <x:c r="AK81" s="3">
        <x:v>0</x:v>
      </x:c>
      <x:c r="AL81" t="n">
        <x:f>Tabelle2[[#This Row],[1 jahre Weiblich]]+Tabelle2[[#This Row],[unter 1 Jahr Männlich]]</x:f>
        <x:v>0</x:v>
      </x:c>
      <x:c r="AM81" t="n">
        <x:f>Tabelle2[[#This Row],[1-15 Jahre Weiblich]]+Tabelle2[[#This Row],[1-15 jahre Mänlich]]</x:f>
        <x:v>0</x:v>
      </x:c>
      <x:c r="AN81" t="n">
        <x:f>Tabelle2[[#This Row],[15-20 Jahre Weiblich]]+Tabelle2[[#This Row],[15-20 jahre Männlich]]</x:f>
        <x:v>0</x:v>
      </x:c>
      <x:c r="AO81" t="n">
        <x:f>Tabelle2[[#This Row],[20-25 jahre weiblich]]+Tabelle2[[#This Row],[20-25 jahre Männlich]]</x:f>
        <x:v>0</x:v>
      </x:c>
      <x:c r="AP81" t="n">
        <x:f>Tabelle2[[#This Row],[25-30 Jahre Weiblich]]+Tabelle2[[#This Row],[25-30 jahre Männlich]]</x:f>
        <x:v>0</x:v>
      </x:c>
      <x:c r="AQ81" t="n">
        <x:f>Tabelle2[[#This Row],[30-35 Jahre Weiblich]]+Tabelle2[[#This Row],[30-35 jahre Männlich]]</x:f>
        <x:v>0</x:v>
      </x:c>
      <x:c r="AR81" t="n">
        <x:f>Tabelle2[[#This Row],[35-40 Jahre Weiblich]]+Tabelle2[[#This Row],[35-40 jahre  Männlich]]</x:f>
        <x:v>0</x:v>
      </x:c>
      <x:c r="AS81" t="n">
        <x:f>Tabelle2[[#This Row],[40-45 Jahre Weiblich]]+Tabelle2[[#This Row],[40-45 jahre Männlich]]</x:f>
        <x:v>0</x:v>
      </x:c>
      <x:c r="AT81" t="n">
        <x:f>Tabelle2[[#This Row],[45-50 Jahre Weiblich]]+Tabelle2[[#This Row],[45-50 jahre Männlich]]</x:f>
        <x:v>0</x:v>
      </x:c>
      <x:c r="AU81" t="n">
        <x:f>Tabelle2[[#This Row],[50-55 Jahre Weiblich]]+Tabelle2[[#This Row],[50-55 jahre Männlich]]</x:f>
        <x:v>0</x:v>
      </x:c>
      <x:c r="AV81" t="n">
        <x:f>Tabelle2[[#This Row],[55-60 Jahre Weiblich]]+Tabelle2[[#This Row],[55-60 jahre Männlich]]</x:f>
        <x:v>0</x:v>
      </x:c>
      <x:c r="AW81" t="n">
        <x:f>Tabelle2[[#This Row],[60-65 Jahre Weiblich]]+Tabelle2[[#This Row],[60-65 jahre Männlich]]</x:f>
        <x:v>0</x:v>
      </x:c>
      <x:c r="AX81" t="n">
        <x:f>Tabelle2[[#This Row],[65-70 Jahre Weiblich]]+Tabelle2[[#This Row],[65-70 Jahre  Männlich]]</x:f>
        <x:v>0</x:v>
      </x:c>
      <x:c r="AY81" t="n">
        <x:f>Tabelle2[[#This Row],[70-75Jahre Weiblich]]+Tabelle2[[#This Row],[70-75 jahre Männlch]]</x:f>
        <x:v>0</x:v>
      </x:c>
      <x:c r="AZ81" t="e">
        <x:f>Tabelle2[[#This Row],[75-80 Jahre Weiblich]]+Tabelle2[[#This Row],[75-80 jahre Männlich]]</x:f>
      </x:c>
      <x:c r="BA81" t="n">
        <x:f>Tabelle2[[#This Row],[80-85 Jahre Weiblich]]+Tabelle2[[#This Row],[80-85 jahre Männlich]]</x:f>
        <x:v>0</x:v>
      </x:c>
      <x:c r="BB81" t="n">
        <x:f>Tabelle2[[#This Row],[85 und mehr Weiblich]]+Tabelle2[[#This Row],[85 und mehr]]</x:f>
        <x:v>0</x:v>
      </x:c>
    </x:row>
    <x:row r="82">
      <x:c r="A82" s="1" t="s">
        <x:v>54</x:v>
      </x:c>
      <x:c r="B82" s="2" t="s">
        <x:v>116</x:v>
      </x:c>
      <x:c r="C82" s="3">
        <x:v>0</x:v>
      </x:c>
      <x:c r="D82" s="3">
        <x:v>0</x:v>
      </x:c>
      <x:c r="E82" s="3">
        <x:v>0</x:v>
      </x:c>
      <x:c r="F82" s="3">
        <x:v>0</x:v>
      </x:c>
      <x:c r="G82" s="3">
        <x:v>0</x:v>
      </x:c>
      <x:c r="H82" s="3">
        <x:v>0</x:v>
      </x:c>
      <x:c r="I82" s="3">
        <x:v>0</x:v>
      </x:c>
      <x:c r="J82" s="3">
        <x:v>0</x:v>
      </x:c>
      <x:c r="K82" s="3">
        <x:v>0</x:v>
      </x:c>
      <x:c r="L82" s="3">
        <x:v>0</x:v>
      </x:c>
      <x:c r="M82" s="3">
        <x:v>0</x:v>
      </x:c>
      <x:c r="N82" s="3">
        <x:v>0</x:v>
      </x:c>
      <x:c r="O82" s="3">
        <x:v>0</x:v>
      </x:c>
      <x:c r="P82" s="3">
        <x:v>0</x:v>
      </x:c>
      <x:c r="Q82" s="3">
        <x:v>0</x:v>
      </x:c>
      <x:c r="R82" s="3">
        <x:v>0</x:v>
      </x:c>
      <x:c r="S82" s="3">
        <x:v>0</x:v>
      </x:c>
      <x:c r="T82" s="3">
        <x:v>0</x:v>
      </x:c>
      <x:c r="U82" s="3">
        <x:v>0</x:v>
      </x:c>
      <x:c r="V82" s="3">
        <x:v>0</x:v>
      </x:c>
      <x:c r="W82" s="3">
        <x:v>0</x:v>
      </x:c>
      <x:c r="X82" s="3">
        <x:v>0</x:v>
      </x:c>
      <x:c r="Y82" s="3">
        <x:v>0</x:v>
      </x:c>
      <x:c r="Z82" s="3">
        <x:v>0</x:v>
      </x:c>
      <x:c r="AA82" s="3">
        <x:v>0</x:v>
      </x:c>
      <x:c r="AB82" s="3">
        <x:v>0</x:v>
      </x:c>
      <x:c r="AC82" s="3">
        <x:v>0</x:v>
      </x:c>
      <x:c r="AD82" s="3">
        <x:v>0</x:v>
      </x:c>
      <x:c r="AE82" s="3">
        <x:v>0</x:v>
      </x:c>
      <x:c r="AF82" s="3">
        <x:v>0</x:v>
      </x:c>
      <x:c r="AG82" s="3">
        <x:v>0</x:v>
      </x:c>
      <x:c r="AH82" s="3">
        <x:v>0</x:v>
      </x:c>
      <x:c r="AJ82" s="3">
        <x:v>0</x:v>
      </x:c>
      <x:c r="AK82" s="3">
        <x:v>0</x:v>
      </x:c>
      <x:c r="AL82" t="n">
        <x:f>Tabelle2[[#This Row],[1 jahre Weiblich]]+Tabelle2[[#This Row],[unter 1 Jahr Männlich]]</x:f>
        <x:v>0</x:v>
      </x:c>
      <x:c r="AM82" t="n">
        <x:f>Tabelle2[[#This Row],[1-15 Jahre Weiblich]]+Tabelle2[[#This Row],[1-15 jahre Mänlich]]</x:f>
        <x:v>0</x:v>
      </x:c>
      <x:c r="AN82" t="n">
        <x:f>Tabelle2[[#This Row],[15-20 Jahre Weiblich]]+Tabelle2[[#This Row],[15-20 jahre Männlich]]</x:f>
        <x:v>0</x:v>
      </x:c>
      <x:c r="AO82" t="n">
        <x:f>Tabelle2[[#This Row],[20-25 jahre weiblich]]+Tabelle2[[#This Row],[20-25 jahre Männlich]]</x:f>
        <x:v>0</x:v>
      </x:c>
      <x:c r="AP82" t="n">
        <x:f>Tabelle2[[#This Row],[25-30 Jahre Weiblich]]+Tabelle2[[#This Row],[25-30 jahre Männlich]]</x:f>
        <x:v>0</x:v>
      </x:c>
      <x:c r="AQ82" t="n">
        <x:f>Tabelle2[[#This Row],[30-35 Jahre Weiblich]]+Tabelle2[[#This Row],[30-35 jahre Männlich]]</x:f>
        <x:v>0</x:v>
      </x:c>
      <x:c r="AR82" t="n">
        <x:f>Tabelle2[[#This Row],[35-40 Jahre Weiblich]]+Tabelle2[[#This Row],[35-40 jahre  Männlich]]</x:f>
        <x:v>0</x:v>
      </x:c>
      <x:c r="AS82" t="n">
        <x:f>Tabelle2[[#This Row],[40-45 Jahre Weiblich]]+Tabelle2[[#This Row],[40-45 jahre Männlich]]</x:f>
        <x:v>0</x:v>
      </x:c>
      <x:c r="AT82" t="n">
        <x:f>Tabelle2[[#This Row],[45-50 Jahre Weiblich]]+Tabelle2[[#This Row],[45-50 jahre Männlich]]</x:f>
        <x:v>0</x:v>
      </x:c>
      <x:c r="AU82" t="n">
        <x:f>Tabelle2[[#This Row],[50-55 Jahre Weiblich]]+Tabelle2[[#This Row],[50-55 jahre Männlich]]</x:f>
        <x:v>0</x:v>
      </x:c>
      <x:c r="AV82" t="n">
        <x:f>Tabelle2[[#This Row],[55-60 Jahre Weiblich]]+Tabelle2[[#This Row],[55-60 jahre Männlich]]</x:f>
        <x:v>0</x:v>
      </x:c>
      <x:c r="AW82" t="n">
        <x:f>Tabelle2[[#This Row],[60-65 Jahre Weiblich]]+Tabelle2[[#This Row],[60-65 jahre Männlich]]</x:f>
        <x:v>0</x:v>
      </x:c>
      <x:c r="AX82" t="n">
        <x:f>Tabelle2[[#This Row],[65-70 Jahre Weiblich]]+Tabelle2[[#This Row],[65-70 Jahre  Männlich]]</x:f>
        <x:v>0</x:v>
      </x:c>
      <x:c r="AY82" t="n">
        <x:f>Tabelle2[[#This Row],[70-75Jahre Weiblich]]+Tabelle2[[#This Row],[70-75 jahre Männlch]]</x:f>
        <x:v>0</x:v>
      </x:c>
      <x:c r="AZ82" t="e">
        <x:f>Tabelle2[[#This Row],[75-80 Jahre Weiblich]]+Tabelle2[[#This Row],[75-80 jahre Männlich]]</x:f>
      </x:c>
      <x:c r="BA82" t="n">
        <x:f>Tabelle2[[#This Row],[80-85 Jahre Weiblich]]+Tabelle2[[#This Row],[80-85 jahre Männlich]]</x:f>
        <x:v>0</x:v>
      </x:c>
      <x:c r="BB82" t="n">
        <x:f>Tabelle2[[#This Row],[85 und mehr Weiblich]]+Tabelle2[[#This Row],[85 und mehr]]</x:f>
        <x:v>0</x:v>
      </x:c>
    </x:row>
    <x:row r="83">
      <x:c r="A83" s="1" t="s">
        <x:v>54</x:v>
      </x:c>
      <x:c r="B83" s="2" t="s">
        <x:v>117</x:v>
      </x:c>
      <x:c r="C83" s="3">
        <x:v>1399</x:v>
      </x:c>
      <x:c r="D83" s="3">
        <x:v>618</x:v>
      </x:c>
      <x:c r="E83" s="3">
        <x:v>639</x:v>
      </x:c>
      <x:c r="F83" s="3">
        <x:v>1054</x:v>
      </x:c>
      <x:c r="G83" s="3">
        <x:v>1281</x:v>
      </x:c>
      <x:c r="H83" s="3">
        <x:v>1724</x:v>
      </x:c>
      <x:c r="I83" s="3">
        <x:v>2477</x:v>
      </x:c>
      <x:c r="J83" s="3">
        <x:v>3587</x:v>
      </x:c>
      <x:c r="K83" s="3">
        <x:v>7029</x:v>
      </x:c>
      <x:c r="L83" s="3">
        <x:v>14672</x:v>
      </x:c>
      <x:c r="M83" s="3">
        <x:v>23716</x:v>
      </x:c>
      <x:c r="N83" s="3">
        <x:v>31978</x:v>
      </x:c>
      <x:c r="O83" s="3">
        <x:v>41388</x:v>
      </x:c>
      <x:c r="P83" s="3">
        <x:v>45755</x:v>
      </x:c>
      <x:c r="Q83" s="3">
        <x:v>78513</x:v>
      </x:c>
      <x:c r="R83" s="3">
        <x:v>90025</x:v>
      </x:c>
      <x:c r="S83" s="3">
        <x:v>124177</x:v>
      </x:c>
      <x:c r="T83" s="3">
        <x:v>0</x:v>
      </x:c>
      <x:c r="U83" s="3">
        <x:v>1106</x:v>
      </x:c>
      <x:c r="V83" s="3">
        <x:v>490</x:v>
      </x:c>
      <x:c r="W83" s="3">
        <x:v>304</x:v>
      </x:c>
      <x:c r="X83" s="3">
        <x:v>369</x:v>
      </x:c>
      <x:c r="Y83" s="3">
        <x:v>555</x:v>
      </x:c>
      <x:c r="Z83" s="3">
        <x:v>913</x:v>
      </x:c>
      <x:c r="AA83" s="3">
        <x:v>1356</x:v>
      </x:c>
      <x:c r="AB83" s="3">
        <x:v>1960</x:v>
      </x:c>
      <x:c r="AC83" s="3">
        <x:v>4031</x:v>
      </x:c>
      <x:c r="AD83" s="3">
        <x:v>7982</x:v>
      </x:c>
      <x:c r="AE83" s="3">
        <x:v>12735</x:v>
      </x:c>
      <x:c r="AF83" s="3">
        <x:v>17606</x:v>
      </x:c>
      <x:c r="AG83" s="3">
        <x:v>24272</x:v>
      </x:c>
      <x:c r="AH83" s="3">
        <x:v>29682</x:v>
      </x:c>
      <x:c r="AJ83" s="3">
        <x:v>86663</x:v>
      </x:c>
      <x:c r="AK83" s="3">
        <x:v>236030</x:v>
      </x:c>
      <x:c r="AL83" t="n">
        <x:f>Tabelle2[[#This Row],[1 jahre Weiblich]]+Tabelle2[[#This Row],[unter 1 Jahr Männlich]]</x:f>
        <x:v>2505</x:v>
      </x:c>
      <x:c r="AM83" t="n">
        <x:f>Tabelle2[[#This Row],[1-15 Jahre Weiblich]]+Tabelle2[[#This Row],[1-15 jahre Mänlich]]</x:f>
        <x:v>1108</x:v>
      </x:c>
      <x:c r="AN83" t="n">
        <x:f>Tabelle2[[#This Row],[15-20 Jahre Weiblich]]+Tabelle2[[#This Row],[15-20 jahre Männlich]]</x:f>
        <x:v>943</x:v>
      </x:c>
      <x:c r="AO83" t="n">
        <x:f>Tabelle2[[#This Row],[20-25 jahre weiblich]]+Tabelle2[[#This Row],[20-25 jahre Männlich]]</x:f>
        <x:v>1423</x:v>
      </x:c>
      <x:c r="AP83" t="n">
        <x:f>Tabelle2[[#This Row],[25-30 Jahre Weiblich]]+Tabelle2[[#This Row],[25-30 jahre Männlich]]</x:f>
        <x:v>1836</x:v>
      </x:c>
      <x:c r="AQ83" t="n">
        <x:f>Tabelle2[[#This Row],[30-35 Jahre Weiblich]]+Tabelle2[[#This Row],[30-35 jahre Männlich]]</x:f>
        <x:v>2637</x:v>
      </x:c>
      <x:c r="AR83" t="n">
        <x:f>Tabelle2[[#This Row],[35-40 Jahre Weiblich]]+Tabelle2[[#This Row],[35-40 jahre  Männlich]]</x:f>
        <x:v>3833</x:v>
      </x:c>
      <x:c r="AS83" t="n">
        <x:f>Tabelle2[[#This Row],[40-45 Jahre Weiblich]]+Tabelle2[[#This Row],[40-45 jahre Männlich]]</x:f>
        <x:v>5547</x:v>
      </x:c>
      <x:c r="AT83" t="n">
        <x:f>Tabelle2[[#This Row],[45-50 Jahre Weiblich]]+Tabelle2[[#This Row],[45-50 jahre Männlich]]</x:f>
        <x:v>11060</x:v>
      </x:c>
      <x:c r="AU83" t="n">
        <x:f>Tabelle2[[#This Row],[50-55 Jahre Weiblich]]+Tabelle2[[#This Row],[50-55 jahre Männlich]]</x:f>
        <x:v>22654</x:v>
      </x:c>
      <x:c r="AV83" t="n">
        <x:f>Tabelle2[[#This Row],[55-60 Jahre Weiblich]]+Tabelle2[[#This Row],[55-60 jahre Männlich]]</x:f>
        <x:v>36451</x:v>
      </x:c>
      <x:c r="AW83" t="n">
        <x:f>Tabelle2[[#This Row],[60-65 Jahre Weiblich]]+Tabelle2[[#This Row],[60-65 jahre Männlich]]</x:f>
        <x:v>49584</x:v>
      </x:c>
      <x:c r="AX83" t="n">
        <x:f>Tabelle2[[#This Row],[65-70 Jahre Weiblich]]+Tabelle2[[#This Row],[65-70 Jahre  Männlich]]</x:f>
        <x:v>65660</x:v>
      </x:c>
      <x:c r="AY83" t="n">
        <x:f>Tabelle2[[#This Row],[70-75Jahre Weiblich]]+Tabelle2[[#This Row],[70-75 jahre Männlch]]</x:f>
        <x:v>75437</x:v>
      </x:c>
      <x:c r="AZ83" t="e">
        <x:f>Tabelle2[[#This Row],[75-80 Jahre Weiblich]]+Tabelle2[[#This Row],[75-80 jahre Männlich]]</x:f>
      </x:c>
      <x:c r="BA83" t="n">
        <x:f>Tabelle2[[#This Row],[80-85 Jahre Weiblich]]+Tabelle2[[#This Row],[80-85 jahre Männlich]]</x:f>
        <x:v>176688</x:v>
      </x:c>
      <x:c r="BB83" t="n">
        <x:f>Tabelle2[[#This Row],[85 und mehr Weiblich]]+Tabelle2[[#This Row],[85 und mehr]]</x:f>
        <x:v>360207</x:v>
      </x:c>
    </x:row>
    <x:row r="84">
      <x:c r="A84" t="str">
        <x:v>2018</x:v>
      </x:c>
      <x:c r="B84" t="str">
        <x:v>Atmung</x:v>
      </x:c>
      <x:c r="C84" t="n">
        <x:v>16</x:v>
      </x:c>
      <x:c r="D84" t="n">
        <x:v>24</x:v>
      </x:c>
      <x:c r="E84" t="n">
        <x:v>12</x:v>
      </x:c>
      <x:c r="F84" t="n">
        <x:v>14</x:v>
      </x:c>
      <x:c r="G84" t="n">
        <x:v>23</x:v>
      </x:c>
      <x:c r="H84" t="n">
        <x:v>25</x:v>
      </x:c>
      <x:c r="I84" t="n">
        <x:v>51</x:v>
      </x:c>
      <x:c r="J84" t="n">
        <x:v>75</x:v>
      </x:c>
      <x:c r="K84" t="n">
        <x:v>231</x:v>
      </x:c>
      <x:c r="L84" t="n">
        <x:v>569</x:v>
      </x:c>
      <x:c r="M84" t="n">
        <x:v>1266</x:v>
      </x:c>
      <x:c r="N84" t="n">
        <x:v>2126</x:v>
      </x:c>
      <x:c r="O84" t="n">
        <x:v>3241</x:v>
      </x:c>
      <x:c r="P84" t="n">
        <x:v>4246</x:v>
      </x:c>
      <x:c r="Q84" t="n">
        <x:v>7188</x:v>
      </x:c>
      <x:c r="R84" t="n">
        <x:v>7962</x:v>
      </x:c>
      <x:c r="S84" t="n">
        <x:v>11184</x:v>
      </x:c>
      <x:c r="T84" t="n">
        <x:v>0</x:v>
      </x:c>
      <x:c r="U84" t="n">
        <x:v>11</x:v>
      </x:c>
      <x:c r="V84" t="n">
        <x:v>17</x:v>
      </x:c>
      <x:c r="W84" t="n">
        <x:v>3</x:v>
      </x:c>
      <x:c r="X84" t="n">
        <x:v>14</x:v>
      </x:c>
      <x:c r="Y84" t="n">
        <x:v>18</x:v>
      </x:c>
      <x:c r="Z84" t="n">
        <x:v>16</x:v>
      </x:c>
      <x:c r="AA84" t="n">
        <x:v>29</x:v>
      </x:c>
      <x:c r="AB84" t="n">
        <x:v>49</x:v>
      </x:c>
      <x:c r="AC84" t="n">
        <x:v>125</x:v>
      </x:c>
      <x:c r="AD84" t="n">
        <x:v>341</x:v>
      </x:c>
      <x:c r="AE84" t="n">
        <x:v>744</x:v>
      </x:c>
      <x:c r="AF84" t="n">
        <x:v>1375</x:v>
      </x:c>
      <x:c r="AG84" t="n">
        <x:v>2190</x:v>
      </x:c>
      <x:c r="AH84" t="n">
        <x:v>2799</x:v>
      </x:c>
      <x:c r="AI84"/>
      <x:c r="AJ84" t="n">
        <x:v>6275</x:v>
      </x:c>
      <x:c r="AK84" t="n">
        <x:v>14774</x:v>
      </x:c>
      <x:c r="AL84" t="n">
        <x:v>27</x:v>
      </x:c>
      <x:c r="AM84" t="n">
        <x:v>41</x:v>
      </x:c>
      <x:c r="AN84" t="n">
        <x:v>15</x:v>
      </x:c>
      <x:c r="AO84" t="n">
        <x:v>28</x:v>
      </x:c>
      <x:c r="AP84" t="n">
        <x:v>41</x:v>
      </x:c>
      <x:c r="AQ84" t="n">
        <x:v>41</x:v>
      </x:c>
      <x:c r="AR84" t="n">
        <x:v>80</x:v>
      </x:c>
      <x:c r="AS84" t="n">
        <x:v>124</x:v>
      </x:c>
      <x:c r="AT84" t="n">
        <x:v>356</x:v>
      </x:c>
      <x:c r="AU84" t="n">
        <x:v>910</x:v>
      </x:c>
      <x:c r="AV84" t="n">
        <x:v>2010</x:v>
      </x:c>
      <x:c r="AW84" t="n">
        <x:v>3501</x:v>
      </x:c>
      <x:c r="AX84" t="n">
        <x:v>5431</x:v>
      </x:c>
      <x:c r="AY84" t="n">
        <x:v>7045</x:v>
      </x:c>
      <x:c r="AZ84" t="str">
        <x:v>#VALUE!</x:v>
      </x:c>
      <x:c r="BA84" t="n">
        <x:v>14237</x:v>
      </x:c>
      <x:c r="BB84" t="n">
        <x:v>25958</x:v>
      </x:c>
    </x:row>
    <x:row r="85">
      <x:c r="A85" t="str">
        <x:v>2018</x:v>
      </x:c>
      <x:c r="B85" t="str">
        <x:v>Verdauung</x:v>
      </x:c>
      <x:c r="C85" t="n">
        <x:v>8</x:v>
      </x:c>
      <x:c r="D85" t="n">
        <x:v>6</x:v>
      </x:c>
      <x:c r="E85" t="n">
        <x:v>6</x:v>
      </x:c>
      <x:c r="F85" t="n">
        <x:v>12</x:v>
      </x:c>
      <x:c r="G85" t="n">
        <x:v>30</x:v>
      </x:c>
      <x:c r="H85" t="n">
        <x:v>71</x:v>
      </x:c>
      <x:c r="I85" t="n">
        <x:v>196</x:v>
      </x:c>
      <x:c r="J85" t="n">
        <x:v>338</x:v>
      </x:c>
      <x:c r="K85" t="n">
        <x:v>690</x:v>
      </x:c>
      <x:c r="L85" t="n">
        <x:v>1357</x:v>
      </x:c>
      <x:c r="M85" t="n">
        <x:v>2041</x:v>
      </x:c>
      <x:c r="N85" t="n">
        <x:v>2453</x:v>
      </x:c>
      <x:c r="O85" t="n">
        <x:v>2552</x:v>
      </x:c>
      <x:c r="P85" t="n">
        <x:v>2145</x:v>
      </x:c>
      <x:c r="Q85" t="n">
        <x:v>3114</x:v>
      </x:c>
      <x:c r="R85" t="n">
        <x:v>3139</x:v>
      </x:c>
      <x:c r="S85" t="n">
        <x:v>3746</x:v>
      </x:c>
      <x:c r="T85" t="n">
        <x:v>0</x:v>
      </x:c>
      <x:c r="U85" t="n">
        <x:v>5</x:v>
      </x:c>
      <x:c r="V85" t="n">
        <x:v>8</x:v>
      </x:c>
      <x:c r="W85" t="n">
        <x:v>3</x:v>
      </x:c>
      <x:c r="X85" t="n">
        <x:v>6</x:v>
      </x:c>
      <x:c r="Y85" t="n">
        <x:v>25</x:v>
      </x:c>
      <x:c r="Z85" t="n">
        <x:v>38</x:v>
      </x:c>
      <x:c r="AA85" t="n">
        <x:v>78</x:v>
      </x:c>
      <x:c r="AB85" t="n">
        <x:v>123</x:v>
      </x:c>
      <x:c r="AC85" t="n">
        <x:v>304</x:v>
      </x:c>
      <x:c r="AD85" t="n">
        <x:v>581</x:v>
      </x:c>
      <x:c r="AE85" t="n">
        <x:v>907</x:v>
      </x:c>
      <x:c r="AF85" t="n">
        <x:v>1084</x:v>
      </x:c>
      <x:c r="AG85" t="n">
        <x:v>1301</x:v>
      </x:c>
      <x:c r="AH85" t="n">
        <x:v>1400</x:v>
      </x:c>
      <x:c r="AI85"/>
      <x:c r="AJ85" t="n">
        <x:v>3331</x:v>
      </x:c>
      <x:c r="AK85" t="n">
        <x:v>7575</x:v>
      </x:c>
      <x:c r="AL85" t="n">
        <x:v>13</x:v>
      </x:c>
      <x:c r="AM85" t="n">
        <x:v>14</x:v>
      </x:c>
      <x:c r="AN85" t="n">
        <x:v>9</x:v>
      </x:c>
      <x:c r="AO85" t="n">
        <x:v>18</x:v>
      </x:c>
      <x:c r="AP85" t="n">
        <x:v>55</x:v>
      </x:c>
      <x:c r="AQ85" t="n">
        <x:v>109</x:v>
      </x:c>
      <x:c r="AR85" t="n">
        <x:v>274</x:v>
      </x:c>
      <x:c r="AS85" t="n">
        <x:v>461</x:v>
      </x:c>
      <x:c r="AT85" t="n">
        <x:v>994</x:v>
      </x:c>
      <x:c r="AU85" t="n">
        <x:v>1938</x:v>
      </x:c>
      <x:c r="AV85" t="n">
        <x:v>2948</x:v>
      </x:c>
      <x:c r="AW85" t="n">
        <x:v>3537</x:v>
      </x:c>
      <x:c r="AX85" t="n">
        <x:v>3853</x:v>
      </x:c>
      <x:c r="AY85" t="n">
        <x:v>3545</x:v>
      </x:c>
      <x:c r="AZ85" t="str">
        <x:v>#VALUE!</x:v>
      </x:c>
      <x:c r="BA85" t="n">
        <x:v>6470</x:v>
      </x:c>
      <x:c r="BB85" t="n">
        <x:v>11321</x:v>
      </x:c>
    </x:row>
    <x:row r="86">
      <x:c r="A86" t="str">
        <x:v>2018</x:v>
      </x:c>
      <x:c r="B86" t="str">
        <x:v>Stoffwechsel</x:v>
      </x:c>
      <x:c r="C86" t="n">
        <x:v>14</x:v>
      </x:c>
      <x:c r="D86" t="n">
        <x:v>32</x:v>
      </x:c>
      <x:c r="E86" t="n">
        <x:v>21</x:v>
      </x:c>
      <x:c r="F86" t="n">
        <x:v>30</x:v>
      </x:c>
      <x:c r="G86" t="n">
        <x:v>26</x:v>
      </x:c>
      <x:c r="H86" t="n">
        <x:v>51</x:v>
      </x:c>
      <x:c r="I86" t="n">
        <x:v>75</x:v>
      </x:c>
      <x:c r="J86" t="n">
        <x:v>122</x:v>
      </x:c>
      <x:c r="K86" t="n">
        <x:v>243</x:v>
      </x:c>
      <x:c r="L86" t="n">
        <x:v>444</x:v>
      </x:c>
      <x:c r="M86" t="n">
        <x:v>723</x:v>
      </x:c>
      <x:c r="N86" t="n">
        <x:v>931</x:v>
      </x:c>
      <x:c r="O86" t="n">
        <x:v>1349</x:v>
      </x:c>
      <x:c r="P86" t="n">
        <x:v>1406</x:v>
      </x:c>
      <x:c r="Q86" t="n">
        <x:v>2573</x:v>
      </x:c>
      <x:c r="R86" t="n">
        <x:v>3207</x:v>
      </x:c>
      <x:c r="S86" t="n">
        <x:v>4349</x:v>
      </x:c>
      <x:c r="T86" t="n">
        <x:v>0</x:v>
      </x:c>
      <x:c r="U86" t="n">
        <x:v>13</x:v>
      </x:c>
      <x:c r="V86" t="n">
        <x:v>19</x:v>
      </x:c>
      <x:c r="W86" t="n">
        <x:v>7</x:v>
      </x:c>
      <x:c r="X86" t="n">
        <x:v>12</x:v>
      </x:c>
      <x:c r="Y86" t="n">
        <x:v>23</x:v>
      </x:c>
      <x:c r="Z86" t="n">
        <x:v>25</x:v>
      </x:c>
      <x:c r="AA86" t="n">
        <x:v>31</x:v>
      </x:c>
      <x:c r="AB86" t="n">
        <x:v>55</x:v>
      </x:c>
      <x:c r="AC86" t="n">
        <x:v>120</x:v>
      </x:c>
      <x:c r="AD86" t="n">
        <x:v>212</x:v>
      </x:c>
      <x:c r="AE86" t="n">
        <x:v>297</x:v>
      </x:c>
      <x:c r="AF86" t="n">
        <x:v>485</x:v>
      </x:c>
      <x:c r="AG86" t="n">
        <x:v>765</x:v>
      </x:c>
      <x:c r="AH86" t="n">
        <x:v>922</x:v>
      </x:c>
      <x:c r="AI86"/>
      <x:c r="AJ86" t="n">
        <x:v>3682</x:v>
      </x:c>
      <x:c r="AK86" t="n">
        <x:v>10164</x:v>
      </x:c>
      <x:c r="AL86" t="n">
        <x:v>27</x:v>
      </x:c>
      <x:c r="AM86" t="n">
        <x:v>51</x:v>
      </x:c>
      <x:c r="AN86" t="n">
        <x:v>28</x:v>
      </x:c>
      <x:c r="AO86" t="n">
        <x:v>42</x:v>
      </x:c>
      <x:c r="AP86" t="n">
        <x:v>49</x:v>
      </x:c>
      <x:c r="AQ86" t="n">
        <x:v>76</x:v>
      </x:c>
      <x:c r="AR86" t="n">
        <x:v>106</x:v>
      </x:c>
      <x:c r="AS86" t="n">
        <x:v>177</x:v>
      </x:c>
      <x:c r="AT86" t="n">
        <x:v>363</x:v>
      </x:c>
      <x:c r="AU86" t="n">
        <x:v>656</x:v>
      </x:c>
      <x:c r="AV86" t="n">
        <x:v>1020</x:v>
      </x:c>
      <x:c r="AW86" t="n">
        <x:v>1416</x:v>
      </x:c>
      <x:c r="AX86" t="n">
        <x:v>2114</x:v>
      </x:c>
      <x:c r="AY86" t="n">
        <x:v>2328</x:v>
      </x:c>
      <x:c r="AZ86" t="str">
        <x:v>#VALUE!</x:v>
      </x:c>
      <x:c r="BA86" t="n">
        <x:v>6889</x:v>
      </x:c>
      <x:c r="BB86" t="n">
        <x:v>14513</x:v>
      </x:c>
    </x:row>
  </x:sheetData>
  <x:pageMargins left="0.7" right="0.7" top="0.75" bottom="0.75" header="0.3" footer="0.3"/>
  <x:tableParts count="1">
    <x:tablePart xmlns:r="http://schemas.openxmlformats.org/officeDocument/2006/relationships" r:id="R78396170d20c4f28"/>
  </x:tableParts>
</x:worksheet>
</file>